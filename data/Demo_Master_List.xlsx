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WORKSPACE\Projects\Historical Roofing Benchmark Dashboard\new source\"/>
    </mc:Choice>
  </mc:AlternateContent>
  <xr:revisionPtr revIDLastSave="0" documentId="13_ncr:1_{AF1C2A0F-8052-40BB-B1B3-DD708E3F2C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LL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142" i="1" l="1"/>
  <c r="BM142" i="1"/>
  <c r="BL142" i="1"/>
  <c r="T142" i="1"/>
  <c r="BN141" i="1"/>
  <c r="BM141" i="1"/>
  <c r="BL141" i="1"/>
  <c r="T141" i="1"/>
  <c r="BN140" i="1"/>
  <c r="BM140" i="1"/>
  <c r="BL140" i="1"/>
  <c r="T140" i="1"/>
  <c r="BN139" i="1"/>
  <c r="BM139" i="1"/>
  <c r="BL139" i="1"/>
  <c r="T139" i="1"/>
  <c r="BN138" i="1"/>
  <c r="BM138" i="1"/>
  <c r="BL138" i="1"/>
  <c r="T138" i="1"/>
  <c r="BN137" i="1"/>
  <c r="BM137" i="1"/>
  <c r="BL137" i="1"/>
  <c r="T137" i="1"/>
  <c r="BN136" i="1"/>
  <c r="BM136" i="1"/>
  <c r="BL136" i="1"/>
  <c r="T136" i="1"/>
  <c r="BN135" i="1"/>
  <c r="BM135" i="1"/>
  <c r="BL135" i="1"/>
  <c r="T135" i="1"/>
  <c r="BN134" i="1"/>
  <c r="BM134" i="1"/>
  <c r="BL134" i="1"/>
  <c r="T134" i="1"/>
  <c r="BN133" i="1"/>
  <c r="BM133" i="1"/>
  <c r="BL133" i="1"/>
  <c r="T133" i="1"/>
  <c r="BN132" i="1"/>
  <c r="BM132" i="1"/>
  <c r="BL132" i="1"/>
  <c r="T132" i="1"/>
  <c r="BN131" i="1"/>
  <c r="BM131" i="1"/>
  <c r="BL131" i="1"/>
  <c r="T131" i="1"/>
  <c r="BN130" i="1"/>
  <c r="BM130" i="1"/>
  <c r="BL130" i="1"/>
  <c r="T130" i="1"/>
  <c r="BN129" i="1"/>
  <c r="BM129" i="1"/>
  <c r="BL129" i="1"/>
  <c r="T129" i="1"/>
  <c r="BN128" i="1"/>
  <c r="BM128" i="1"/>
  <c r="BL128" i="1"/>
  <c r="T128" i="1"/>
  <c r="BN127" i="1"/>
  <c r="BM127" i="1"/>
  <c r="BL127" i="1"/>
  <c r="T127" i="1"/>
  <c r="BN126" i="1"/>
  <c r="BM126" i="1"/>
  <c r="BL126" i="1"/>
  <c r="T126" i="1"/>
  <c r="BN125" i="1"/>
  <c r="BM125" i="1"/>
  <c r="BL125" i="1"/>
  <c r="T125" i="1"/>
  <c r="BN124" i="1"/>
  <c r="BM124" i="1"/>
  <c r="BL124" i="1"/>
  <c r="T124" i="1"/>
  <c r="BN123" i="1"/>
  <c r="BM123" i="1"/>
  <c r="BL123" i="1"/>
  <c r="T123" i="1"/>
  <c r="BN122" i="1"/>
  <c r="BM122" i="1"/>
  <c r="BL122" i="1"/>
  <c r="T122" i="1"/>
  <c r="BN121" i="1"/>
  <c r="BM121" i="1"/>
  <c r="BL121" i="1"/>
  <c r="T121" i="1"/>
  <c r="BN120" i="1"/>
  <c r="BM120" i="1"/>
  <c r="BL120" i="1"/>
  <c r="T120" i="1"/>
  <c r="BN119" i="1"/>
  <c r="BM119" i="1"/>
  <c r="BL119" i="1"/>
  <c r="T119" i="1"/>
  <c r="BN118" i="1"/>
  <c r="BM118" i="1"/>
  <c r="BL118" i="1"/>
  <c r="T118" i="1"/>
  <c r="BN117" i="1"/>
  <c r="BM117" i="1"/>
  <c r="BL117" i="1"/>
  <c r="T117" i="1"/>
  <c r="BN116" i="1"/>
  <c r="BM116" i="1"/>
  <c r="BL116" i="1"/>
  <c r="T116" i="1"/>
  <c r="BN115" i="1"/>
  <c r="BM115" i="1"/>
  <c r="BL115" i="1"/>
  <c r="T115" i="1"/>
  <c r="BN114" i="1"/>
  <c r="BM114" i="1"/>
  <c r="BL114" i="1"/>
  <c r="T114" i="1"/>
  <c r="BN113" i="1"/>
  <c r="BM113" i="1"/>
  <c r="BL113" i="1"/>
  <c r="T113" i="1"/>
  <c r="BN112" i="1"/>
  <c r="BM112" i="1"/>
  <c r="BL112" i="1"/>
  <c r="T112" i="1"/>
  <c r="BN111" i="1"/>
  <c r="BM111" i="1"/>
  <c r="BL111" i="1"/>
  <c r="T111" i="1"/>
  <c r="BN110" i="1"/>
  <c r="BM110" i="1"/>
  <c r="BL110" i="1"/>
  <c r="T110" i="1"/>
  <c r="BN109" i="1"/>
  <c r="BM109" i="1"/>
  <c r="BL109" i="1"/>
  <c r="T109" i="1"/>
  <c r="BN108" i="1"/>
  <c r="BM108" i="1"/>
  <c r="BL108" i="1"/>
  <c r="T108" i="1"/>
  <c r="BN107" i="1"/>
  <c r="BM107" i="1"/>
  <c r="BL107" i="1"/>
  <c r="T107" i="1"/>
  <c r="BN106" i="1"/>
  <c r="BM106" i="1"/>
  <c r="BL106" i="1"/>
  <c r="T106" i="1"/>
  <c r="BN105" i="1"/>
  <c r="BM105" i="1"/>
  <c r="BL105" i="1"/>
  <c r="T105" i="1"/>
  <c r="BN104" i="1"/>
  <c r="BM104" i="1"/>
  <c r="BL104" i="1"/>
  <c r="T104" i="1"/>
  <c r="BN103" i="1"/>
  <c r="BM103" i="1"/>
  <c r="BL103" i="1"/>
  <c r="T103" i="1"/>
  <c r="BN102" i="1"/>
  <c r="BM102" i="1"/>
  <c r="BL102" i="1"/>
  <c r="T102" i="1"/>
  <c r="BN101" i="1"/>
  <c r="BM101" i="1"/>
  <c r="BL101" i="1"/>
  <c r="T101" i="1"/>
  <c r="BN100" i="1"/>
  <c r="BM100" i="1"/>
  <c r="BL100" i="1"/>
  <c r="T100" i="1"/>
  <c r="BN99" i="1"/>
  <c r="BM99" i="1"/>
  <c r="BL99" i="1"/>
  <c r="T99" i="1"/>
  <c r="BN98" i="1"/>
  <c r="BM98" i="1"/>
  <c r="BL98" i="1"/>
  <c r="T98" i="1"/>
  <c r="BN97" i="1"/>
  <c r="BM97" i="1"/>
  <c r="BL97" i="1"/>
  <c r="T97" i="1"/>
  <c r="BN96" i="1"/>
  <c r="BM96" i="1"/>
  <c r="BL96" i="1"/>
  <c r="T96" i="1"/>
  <c r="BN95" i="1"/>
  <c r="BM95" i="1"/>
  <c r="BL95" i="1"/>
  <c r="T95" i="1"/>
  <c r="BN94" i="1"/>
  <c r="BM94" i="1"/>
  <c r="BL94" i="1"/>
  <c r="T94" i="1"/>
  <c r="BN93" i="1"/>
  <c r="BM93" i="1"/>
  <c r="BL93" i="1"/>
  <c r="T93" i="1"/>
  <c r="BN92" i="1"/>
  <c r="BM92" i="1"/>
  <c r="BL92" i="1"/>
  <c r="T92" i="1"/>
  <c r="BN91" i="1"/>
  <c r="BM91" i="1"/>
  <c r="BL91" i="1"/>
  <c r="T91" i="1"/>
  <c r="BN90" i="1"/>
  <c r="BM90" i="1"/>
  <c r="BL90" i="1"/>
  <c r="T90" i="1"/>
  <c r="BN89" i="1"/>
  <c r="BM89" i="1"/>
  <c r="BL89" i="1"/>
  <c r="T89" i="1"/>
  <c r="BN88" i="1"/>
  <c r="BM88" i="1"/>
  <c r="BL88" i="1"/>
  <c r="T88" i="1"/>
  <c r="BN87" i="1"/>
  <c r="BM87" i="1"/>
  <c r="BL87" i="1"/>
  <c r="T87" i="1"/>
  <c r="BN86" i="1"/>
  <c r="BM86" i="1"/>
  <c r="BL86" i="1"/>
  <c r="T86" i="1"/>
  <c r="BN85" i="1"/>
  <c r="BM85" i="1"/>
  <c r="BL85" i="1"/>
  <c r="T85" i="1"/>
  <c r="BN84" i="1"/>
  <c r="BM84" i="1"/>
  <c r="BL84" i="1"/>
  <c r="T84" i="1"/>
  <c r="BN83" i="1"/>
  <c r="BM83" i="1"/>
  <c r="BL83" i="1"/>
  <c r="T83" i="1"/>
  <c r="BN82" i="1"/>
  <c r="BM82" i="1"/>
  <c r="BL82" i="1"/>
  <c r="T82" i="1"/>
  <c r="BN81" i="1"/>
  <c r="BM81" i="1"/>
  <c r="BL81" i="1"/>
  <c r="T81" i="1"/>
  <c r="BN80" i="1"/>
  <c r="BM80" i="1"/>
  <c r="BL80" i="1"/>
  <c r="T80" i="1"/>
  <c r="BN79" i="1"/>
  <c r="BM79" i="1"/>
  <c r="BL79" i="1"/>
  <c r="T79" i="1"/>
  <c r="BN78" i="1"/>
  <c r="BM78" i="1"/>
  <c r="BL78" i="1"/>
  <c r="T78" i="1"/>
  <c r="BN77" i="1"/>
  <c r="BM77" i="1"/>
  <c r="BL77" i="1"/>
  <c r="T77" i="1"/>
  <c r="BN76" i="1"/>
  <c r="BM76" i="1"/>
  <c r="BL76" i="1"/>
  <c r="T76" i="1"/>
  <c r="BN75" i="1"/>
  <c r="BM75" i="1"/>
  <c r="BL75" i="1"/>
  <c r="T75" i="1"/>
  <c r="BN74" i="1"/>
  <c r="BM74" i="1"/>
  <c r="BL74" i="1"/>
  <c r="T74" i="1"/>
  <c r="BN73" i="1"/>
  <c r="BM73" i="1"/>
  <c r="BL73" i="1"/>
  <c r="T73" i="1"/>
  <c r="BN72" i="1"/>
  <c r="BM72" i="1"/>
  <c r="BL72" i="1"/>
  <c r="T72" i="1"/>
  <c r="BN71" i="1"/>
  <c r="BM71" i="1"/>
  <c r="BL71" i="1"/>
  <c r="T71" i="1"/>
  <c r="BN70" i="1"/>
  <c r="BM70" i="1"/>
  <c r="BL70" i="1"/>
  <c r="T70" i="1"/>
  <c r="BN69" i="1"/>
  <c r="BM69" i="1"/>
  <c r="BL69" i="1"/>
  <c r="T69" i="1"/>
  <c r="BN68" i="1"/>
  <c r="BM68" i="1"/>
  <c r="BL68" i="1"/>
  <c r="T68" i="1"/>
  <c r="BN67" i="1"/>
  <c r="BM67" i="1"/>
  <c r="BL67" i="1"/>
  <c r="T67" i="1"/>
  <c r="BN66" i="1"/>
  <c r="BM66" i="1"/>
  <c r="BL66" i="1"/>
  <c r="T66" i="1"/>
  <c r="BN65" i="1"/>
  <c r="BM65" i="1"/>
  <c r="BL65" i="1"/>
  <c r="T65" i="1"/>
  <c r="BN64" i="1"/>
  <c r="BM64" i="1"/>
  <c r="BL64" i="1"/>
  <c r="T64" i="1"/>
  <c r="BN63" i="1"/>
  <c r="BM63" i="1"/>
  <c r="BL63" i="1"/>
  <c r="T63" i="1"/>
  <c r="BN62" i="1"/>
  <c r="BM62" i="1"/>
  <c r="BL62" i="1"/>
  <c r="T62" i="1"/>
  <c r="BN61" i="1"/>
  <c r="BM61" i="1"/>
  <c r="BL61" i="1"/>
  <c r="T61" i="1"/>
  <c r="BN60" i="1"/>
  <c r="BM60" i="1"/>
  <c r="BL60" i="1"/>
  <c r="T60" i="1"/>
  <c r="BN59" i="1"/>
  <c r="BM59" i="1"/>
  <c r="BL59" i="1"/>
  <c r="T59" i="1"/>
  <c r="BN58" i="1"/>
  <c r="BM58" i="1"/>
  <c r="BL58" i="1"/>
  <c r="T58" i="1"/>
  <c r="BN57" i="1"/>
  <c r="BM57" i="1"/>
  <c r="BL57" i="1"/>
  <c r="T57" i="1"/>
  <c r="BN56" i="1"/>
  <c r="BM56" i="1"/>
  <c r="BL56" i="1"/>
  <c r="T56" i="1"/>
  <c r="BN55" i="1"/>
  <c r="BM55" i="1"/>
  <c r="BL55" i="1"/>
  <c r="T55" i="1"/>
  <c r="BN54" i="1"/>
  <c r="BM54" i="1"/>
  <c r="BL54" i="1"/>
  <c r="T54" i="1"/>
  <c r="BN53" i="1"/>
  <c r="BM53" i="1"/>
  <c r="BL53" i="1"/>
  <c r="T53" i="1"/>
  <c r="BN52" i="1"/>
  <c r="BM52" i="1"/>
  <c r="BL52" i="1"/>
  <c r="T52" i="1"/>
  <c r="BN51" i="1"/>
  <c r="BM51" i="1"/>
  <c r="BL51" i="1"/>
  <c r="T51" i="1"/>
  <c r="BN50" i="1"/>
  <c r="BM50" i="1"/>
  <c r="BL50" i="1"/>
  <c r="T50" i="1"/>
  <c r="BN49" i="1"/>
  <c r="BM49" i="1"/>
  <c r="BL49" i="1"/>
  <c r="T49" i="1"/>
  <c r="BN48" i="1"/>
  <c r="BM48" i="1"/>
  <c r="BL48" i="1"/>
  <c r="T48" i="1"/>
  <c r="BN47" i="1"/>
  <c r="BM47" i="1"/>
  <c r="BL47" i="1"/>
  <c r="T47" i="1"/>
  <c r="BN46" i="1"/>
  <c r="BM46" i="1"/>
  <c r="BL46" i="1"/>
  <c r="T46" i="1"/>
  <c r="BN45" i="1"/>
  <c r="BM45" i="1"/>
  <c r="BL45" i="1"/>
  <c r="T45" i="1"/>
  <c r="BN44" i="1"/>
  <c r="BM44" i="1"/>
  <c r="BL44" i="1"/>
  <c r="T44" i="1"/>
  <c r="BN43" i="1"/>
  <c r="BM43" i="1"/>
  <c r="BL43" i="1"/>
  <c r="T43" i="1"/>
  <c r="BN42" i="1"/>
  <c r="BM42" i="1"/>
  <c r="BL42" i="1"/>
  <c r="T42" i="1"/>
  <c r="BN41" i="1"/>
  <c r="BM41" i="1"/>
  <c r="BL41" i="1"/>
  <c r="T41" i="1"/>
  <c r="BN40" i="1"/>
  <c r="BM40" i="1"/>
  <c r="BL40" i="1"/>
  <c r="T40" i="1"/>
  <c r="BN39" i="1"/>
  <c r="BM39" i="1"/>
  <c r="BL39" i="1"/>
  <c r="T39" i="1"/>
  <c r="BN38" i="1"/>
  <c r="BM38" i="1"/>
  <c r="BL38" i="1"/>
  <c r="T38" i="1"/>
  <c r="BN37" i="1"/>
  <c r="BM37" i="1"/>
  <c r="BL37" i="1"/>
  <c r="T37" i="1"/>
  <c r="BN36" i="1"/>
  <c r="BM36" i="1"/>
  <c r="BL36" i="1"/>
  <c r="T36" i="1"/>
  <c r="BN35" i="1"/>
  <c r="BM35" i="1"/>
  <c r="BL35" i="1"/>
  <c r="T35" i="1"/>
  <c r="BN34" i="1"/>
  <c r="BM34" i="1"/>
  <c r="BL34" i="1"/>
  <c r="T34" i="1"/>
  <c r="BN33" i="1"/>
  <c r="BM33" i="1"/>
  <c r="BL33" i="1"/>
  <c r="T33" i="1"/>
  <c r="BN32" i="1"/>
  <c r="BM32" i="1"/>
  <c r="BL32" i="1"/>
  <c r="T32" i="1"/>
  <c r="BN31" i="1"/>
  <c r="BM31" i="1"/>
  <c r="BL31" i="1"/>
  <c r="T31" i="1"/>
  <c r="BN30" i="1"/>
  <c r="BM30" i="1"/>
  <c r="BL30" i="1"/>
  <c r="T30" i="1"/>
  <c r="BN29" i="1"/>
  <c r="BM29" i="1"/>
  <c r="BL29" i="1"/>
  <c r="T29" i="1"/>
  <c r="BN28" i="1"/>
  <c r="BM28" i="1"/>
  <c r="BL28" i="1"/>
  <c r="T28" i="1"/>
  <c r="BN27" i="1"/>
  <c r="BM27" i="1"/>
  <c r="BL27" i="1"/>
  <c r="T27" i="1"/>
  <c r="BN26" i="1"/>
  <c r="BM26" i="1"/>
  <c r="BL26" i="1"/>
  <c r="T26" i="1"/>
  <c r="BN25" i="1"/>
  <c r="BM25" i="1"/>
  <c r="BL25" i="1"/>
  <c r="T25" i="1"/>
  <c r="BN24" i="1"/>
  <c r="BM24" i="1"/>
  <c r="BL24" i="1"/>
  <c r="T24" i="1"/>
  <c r="BN23" i="1"/>
  <c r="BM23" i="1"/>
  <c r="BL23" i="1"/>
  <c r="T23" i="1"/>
  <c r="BN22" i="1"/>
  <c r="BM22" i="1"/>
  <c r="BL22" i="1"/>
  <c r="T22" i="1"/>
  <c r="BN21" i="1"/>
  <c r="BM21" i="1"/>
  <c r="BL21" i="1"/>
  <c r="T21" i="1"/>
  <c r="BN20" i="1"/>
  <c r="BM20" i="1"/>
  <c r="BL20" i="1"/>
  <c r="T20" i="1"/>
  <c r="BN19" i="1"/>
  <c r="BM19" i="1"/>
  <c r="BL19" i="1"/>
  <c r="T19" i="1"/>
  <c r="BN18" i="1"/>
  <c r="BM18" i="1"/>
  <c r="BL18" i="1"/>
  <c r="T18" i="1"/>
  <c r="BN17" i="1"/>
  <c r="BM17" i="1"/>
  <c r="BL17" i="1"/>
  <c r="T17" i="1"/>
  <c r="BN16" i="1"/>
  <c r="BM16" i="1"/>
  <c r="BL16" i="1"/>
  <c r="T16" i="1"/>
  <c r="BN15" i="1"/>
  <c r="BM15" i="1"/>
  <c r="BL15" i="1"/>
  <c r="T15" i="1"/>
  <c r="BN14" i="1"/>
  <c r="BM14" i="1"/>
  <c r="BL14" i="1"/>
  <c r="T14" i="1"/>
  <c r="BN13" i="1"/>
  <c r="BM13" i="1"/>
  <c r="BL13" i="1"/>
  <c r="T13" i="1"/>
  <c r="BN12" i="1"/>
  <c r="BM12" i="1"/>
  <c r="BL12" i="1"/>
  <c r="T12" i="1"/>
  <c r="BN11" i="1"/>
  <c r="BM11" i="1"/>
  <c r="BL11" i="1"/>
  <c r="T11" i="1"/>
  <c r="BN10" i="1"/>
  <c r="BM10" i="1"/>
  <c r="BL10" i="1"/>
  <c r="T10" i="1"/>
  <c r="BN9" i="1"/>
  <c r="BM9" i="1"/>
  <c r="BL9" i="1"/>
  <c r="T9" i="1"/>
  <c r="BN8" i="1"/>
  <c r="BM8" i="1"/>
  <c r="BL8" i="1"/>
  <c r="T8" i="1"/>
  <c r="BN7" i="1"/>
  <c r="BM7" i="1"/>
  <c r="BL7" i="1"/>
  <c r="T7" i="1"/>
  <c r="BN6" i="1"/>
  <c r="BM6" i="1"/>
  <c r="BL6" i="1"/>
  <c r="T6" i="1"/>
  <c r="BN5" i="1"/>
  <c r="BM5" i="1"/>
  <c r="BL5" i="1"/>
  <c r="T5" i="1"/>
  <c r="BN4" i="1"/>
  <c r="BM4" i="1"/>
  <c r="BL4" i="1"/>
  <c r="T4" i="1"/>
  <c r="BN3" i="1"/>
  <c r="BM3" i="1"/>
  <c r="BL3" i="1"/>
  <c r="T3" i="1"/>
  <c r="BN2" i="1"/>
  <c r="BM2" i="1"/>
  <c r="BL2" i="1"/>
  <c r="T2" i="1"/>
</calcChain>
</file>

<file path=xl/sharedStrings.xml><?xml version="1.0" encoding="utf-8"?>
<sst xmlns="http://schemas.openxmlformats.org/spreadsheetml/2006/main" count="1487" uniqueCount="584">
  <si>
    <t>Job#</t>
  </si>
  <si>
    <t>Address</t>
  </si>
  <si>
    <t>City</t>
  </si>
  <si>
    <t>Spec Type</t>
  </si>
  <si>
    <t>Coating Spec</t>
  </si>
  <si>
    <t>T/O Weight psf</t>
  </si>
  <si>
    <t>Insulation R-Value</t>
  </si>
  <si>
    <t>Insulation Attachment</t>
  </si>
  <si>
    <t>Cover Board Type</t>
  </si>
  <si>
    <t>Cover Board Thickness</t>
  </si>
  <si>
    <t>Cover Board Attachment</t>
  </si>
  <si>
    <t>Roof Material Type</t>
  </si>
  <si>
    <t>Roof Material Thickness</t>
  </si>
  <si>
    <t>Roof Material Attachment</t>
  </si>
  <si>
    <t>Contract</t>
  </si>
  <si>
    <t>Total Squares</t>
  </si>
  <si>
    <t>Complete</t>
  </si>
  <si>
    <t>Report</t>
  </si>
  <si>
    <t>Man Days</t>
  </si>
  <si>
    <t>SQ/MD</t>
  </si>
  <si>
    <t>01-0100 - General - Permits</t>
  </si>
  <si>
    <t>01-0110 - General - Disposal</t>
  </si>
  <si>
    <t>01-0120 - General - Equipment Rental</t>
  </si>
  <si>
    <t>01-0140 - General-Subsistence (Per Diem)</t>
  </si>
  <si>
    <t>01-0145 - General - Other</t>
  </si>
  <si>
    <t>01-0160 - General - Fuel</t>
  </si>
  <si>
    <t>01-0165 - General - Bridges, Tolls, Prkg</t>
  </si>
  <si>
    <t>01-0170 - General - Propane</t>
  </si>
  <si>
    <t>01-0180 - General-Damage Repair</t>
  </si>
  <si>
    <t>01-0190 - General-Manufacturer Warranty</t>
  </si>
  <si>
    <t>01-0200 - General-Outside Services</t>
  </si>
  <si>
    <t>01-0210 - General - Asbestos Supplies</t>
  </si>
  <si>
    <t>01-0220 - General - Safety Supplies</t>
  </si>
  <si>
    <t>Scaffolding</t>
  </si>
  <si>
    <t>02-0110 - Labor - Roofing</t>
  </si>
  <si>
    <t>02-0111 - Labor - Overtime</t>
  </si>
  <si>
    <t>03-0100 - Materials - Fasteners</t>
  </si>
  <si>
    <t>03-0101 - Materials - Base</t>
  </si>
  <si>
    <t>03-0102 - Materials - Ply</t>
  </si>
  <si>
    <t>03-0103 - Materials - Capsheet</t>
  </si>
  <si>
    <t>03-0106 - Materials - Shingles</t>
  </si>
  <si>
    <t>03-0107 - Materials - Shingle Felt</t>
  </si>
  <si>
    <t>03-0108 - Materials - Lumber</t>
  </si>
  <si>
    <t>03-0109 - Materials - Cold Adhesive</t>
  </si>
  <si>
    <t>03-0110 - Material - Sheetmetal</t>
  </si>
  <si>
    <t>03-0111 - Material - Modified SBS</t>
  </si>
  <si>
    <t>03-0112 - Materials-Coating</t>
  </si>
  <si>
    <t>03-0113 - Materials - Insulation</t>
  </si>
  <si>
    <t>03-0115 - Materials - Tile</t>
  </si>
  <si>
    <t>03-0116 - Materials - Emulsion</t>
  </si>
  <si>
    <t>03-0118 - Material - Waterproofing</t>
  </si>
  <si>
    <t>03-0120 - Material - Misc (other)</t>
  </si>
  <si>
    <t>03-0120 - Special Cost Items</t>
  </si>
  <si>
    <t>03-0125 - Home Depot Purchases</t>
  </si>
  <si>
    <t>03-0130 - Material - Misc. Supplies</t>
  </si>
  <si>
    <t>03-0130 - Pipe Support Blocks</t>
  </si>
  <si>
    <t>03-0140 - Materials - Tax</t>
  </si>
  <si>
    <t>03-0150 - DENS DECK 4x8</t>
  </si>
  <si>
    <t>03-0160 - DENS DECK 4x4</t>
  </si>
  <si>
    <t>03-0201 - Materials - Single Ply Memb.</t>
  </si>
  <si>
    <t>03-0202 - Materials - Fleeceback Memb.</t>
  </si>
  <si>
    <t>03-0203 - Materials - Single Ply Acces.</t>
  </si>
  <si>
    <t>04-All - Subcontractor</t>
  </si>
  <si>
    <t>Total Cost</t>
  </si>
  <si>
    <t>Type G - Benchmark</t>
  </si>
  <si>
    <t>Type M - Benchmark</t>
  </si>
  <si>
    <t>2017-359</t>
  </si>
  <si>
    <t>22300 Hathaway Avenue</t>
  </si>
  <si>
    <t>Hayward</t>
  </si>
  <si>
    <t>Tear-Off</t>
  </si>
  <si>
    <t>DensDeck</t>
  </si>
  <si>
    <t>1/4"</t>
  </si>
  <si>
    <t>Mechanically Attached</t>
  </si>
  <si>
    <t>TPO</t>
  </si>
  <si>
    <t>60 mil</t>
  </si>
  <si>
    <t>12/17/2024</t>
  </si>
  <si>
    <t>2018-235</t>
  </si>
  <si>
    <t>145 Park Lane</t>
  </si>
  <si>
    <t>Brisbane</t>
  </si>
  <si>
    <t>Overlay</t>
  </si>
  <si>
    <t>HD Polyiso</t>
  </si>
  <si>
    <t>1/2"</t>
  </si>
  <si>
    <t>3/3/2026</t>
  </si>
  <si>
    <t>2019-186</t>
  </si>
  <si>
    <t>185 Valley Drive</t>
  </si>
  <si>
    <t>2019-187</t>
  </si>
  <si>
    <t>280 Old County Road</t>
  </si>
  <si>
    <t>2019-458</t>
  </si>
  <si>
    <t>380 Valley Drive</t>
  </si>
  <si>
    <t>10/17/2019</t>
  </si>
  <si>
    <t>2021-072</t>
  </si>
  <si>
    <t>5555 Auto Mall Parkway</t>
  </si>
  <si>
    <t>Fremont</t>
  </si>
  <si>
    <t>Coating</t>
  </si>
  <si>
    <t>2PAA</t>
  </si>
  <si>
    <t>Acrylic 2-ply @ 5 gal</t>
  </si>
  <si>
    <t>Acrylic TC @ 1.5 gal</t>
  </si>
  <si>
    <t>05/28/2021</t>
  </si>
  <si>
    <t>6/19/2026</t>
  </si>
  <si>
    <t>2021-217</t>
  </si>
  <si>
    <t>Pier 1 - Bay 1</t>
  </si>
  <si>
    <t>San Francisco</t>
  </si>
  <si>
    <t>CTG</t>
  </si>
  <si>
    <t>08/24/2021</t>
  </si>
  <si>
    <t>6/10/2026</t>
  </si>
  <si>
    <t>2021-220</t>
  </si>
  <si>
    <t>499 Valley Drive</t>
  </si>
  <si>
    <t>09/14/2021</t>
  </si>
  <si>
    <t>2022-199</t>
  </si>
  <si>
    <t>440   Valley Dr.</t>
  </si>
  <si>
    <t>11/10/2022</t>
  </si>
  <si>
    <t>2022-575</t>
  </si>
  <si>
    <t>2525   Walsh Ave.</t>
  </si>
  <si>
    <t>Santa   Clara</t>
  </si>
  <si>
    <t>10/20/2022</t>
  </si>
  <si>
    <t>6/1/2026</t>
  </si>
  <si>
    <t>2022-576</t>
  </si>
  <si>
    <t>1815-1849 Grant Street</t>
  </si>
  <si>
    <t>Santa Clara</t>
  </si>
  <si>
    <t>MTL CTG</t>
  </si>
  <si>
    <t>3/C Seams</t>
  </si>
  <si>
    <t>11/04/2022</t>
  </si>
  <si>
    <t>6/8/2026</t>
  </si>
  <si>
    <t>2022-632</t>
  </si>
  <si>
    <t>723   Old County Rd.</t>
  </si>
  <si>
    <t>Belmont</t>
  </si>
  <si>
    <t>MASTER LIST</t>
  </si>
  <si>
    <t>04/07/2023</t>
  </si>
  <si>
    <t>6/25/2026</t>
  </si>
  <si>
    <t>2022-633</t>
  </si>
  <si>
    <t>2300   North Loop Rd.</t>
  </si>
  <si>
    <t>Alameda</t>
  </si>
  <si>
    <t>11/11/2022</t>
  </si>
  <si>
    <t>2022-674</t>
  </si>
  <si>
    <t>6917 Norfolk Rd</t>
  </si>
  <si>
    <t>Berkeley</t>
  </si>
  <si>
    <t>2022-675</t>
  </si>
  <si>
    <t>2101   Marina Blvd.</t>
  </si>
  <si>
    <t>San   Leandro</t>
  </si>
  <si>
    <t>11/29/2022</t>
  </si>
  <si>
    <t>2300-012</t>
  </si>
  <si>
    <t>620-650   Reed Street</t>
  </si>
  <si>
    <t>06/21/2023</t>
  </si>
  <si>
    <t>2300-023</t>
  </si>
  <si>
    <t>834   State St.</t>
  </si>
  <si>
    <t>Santa   Barbara</t>
  </si>
  <si>
    <t>1PAA</t>
  </si>
  <si>
    <t>Acrylic 1-ply @ 3 gal</t>
  </si>
  <si>
    <t>Per Diem</t>
  </si>
  <si>
    <t>05/24/2023</t>
  </si>
  <si>
    <t>7/16/2023</t>
  </si>
  <si>
    <t>2300-082</t>
  </si>
  <si>
    <t>3570 Haven Avenue</t>
  </si>
  <si>
    <t>Redwood   City</t>
  </si>
  <si>
    <t>Fan Fold</t>
  </si>
  <si>
    <t>02/10/2023</t>
  </si>
  <si>
    <t>4/18/2023</t>
  </si>
  <si>
    <t>2300-150</t>
  </si>
  <si>
    <t>6400   Hollis Street</t>
  </si>
  <si>
    <t>Emeryville</t>
  </si>
  <si>
    <t>Silicone</t>
  </si>
  <si>
    <t>Primer @ 1 gal</t>
  </si>
  <si>
    <t>Silicone @ 3 gal</t>
  </si>
  <si>
    <t>07/28/2023</t>
  </si>
  <si>
    <t>9/7/2023</t>
  </si>
  <si>
    <t>2300-173</t>
  </si>
  <si>
    <t>30640   San Clemente Street</t>
  </si>
  <si>
    <t>05/03/2023</t>
  </si>
  <si>
    <t>2300-217</t>
  </si>
  <si>
    <t>2955 Campus Drive</t>
  </si>
  <si>
    <t>San Mateo</t>
  </si>
  <si>
    <t>FB TPO</t>
  </si>
  <si>
    <t>115 mil</t>
  </si>
  <si>
    <t>Fully Adhered</t>
  </si>
  <si>
    <t>10/25/2023</t>
  </si>
  <si>
    <t>2300-244</t>
  </si>
  <si>
    <t>575   Emory Street</t>
  </si>
  <si>
    <t>San   Jose</t>
  </si>
  <si>
    <t>2300-245</t>
  </si>
  <si>
    <t>1375   U.S. Hwy 395 N</t>
  </si>
  <si>
    <t>Gardnerville</t>
  </si>
  <si>
    <t>05/12/2023</t>
  </si>
  <si>
    <t>2300-449</t>
  </si>
  <si>
    <t>31154   San Benito Street</t>
  </si>
  <si>
    <t>2300-451</t>
  </si>
  <si>
    <t>1931   Market Street</t>
  </si>
  <si>
    <t>Concord</t>
  </si>
  <si>
    <t>9/18/2023</t>
  </si>
  <si>
    <t>2300-454</t>
  </si>
  <si>
    <t>170   N Wolfe Rd.</t>
  </si>
  <si>
    <t>Sunnyvale</t>
  </si>
  <si>
    <t>Gypsum</t>
  </si>
  <si>
    <t>PVC</t>
  </si>
  <si>
    <t>09/09/2023</t>
  </si>
  <si>
    <t>10/16/2023</t>
  </si>
  <si>
    <t>2300-455</t>
  </si>
  <si>
    <t>696   East Trimble Rd.</t>
  </si>
  <si>
    <t>08/10/2023</t>
  </si>
  <si>
    <t>2300-456</t>
  </si>
  <si>
    <t>2404   Tripaldi Way</t>
  </si>
  <si>
    <t>02/26/2024</t>
  </si>
  <si>
    <t>2300-467</t>
  </si>
  <si>
    <t>1149 Chess Drive</t>
  </si>
  <si>
    <t>Foster City</t>
  </si>
  <si>
    <t>R10</t>
  </si>
  <si>
    <t>Loose Laid</t>
  </si>
  <si>
    <t>12/23/2023</t>
  </si>
  <si>
    <t>2300-508</t>
  </si>
  <si>
    <t>2590   N First St.</t>
  </si>
  <si>
    <t>GREA-3P-24-6xE</t>
  </si>
  <si>
    <t>Gravel Vac</t>
  </si>
  <si>
    <t>Emulsion Flood Coat</t>
  </si>
  <si>
    <t>Emulsion 2-ply @ 12 gal</t>
  </si>
  <si>
    <t>09/19/2023</t>
  </si>
  <si>
    <t>2300-564</t>
  </si>
  <si>
    <t>2720-2724   Ming Avenue</t>
  </si>
  <si>
    <t>Bakersfield</t>
  </si>
  <si>
    <t>08/24/2023</t>
  </si>
  <si>
    <t>2300-565</t>
  </si>
  <si>
    <t>1588 28th Street</t>
  </si>
  <si>
    <t>08/16/2023</t>
  </si>
  <si>
    <t>2300-566</t>
  </si>
  <si>
    <t>811   W J Street</t>
  </si>
  <si>
    <t>Oakdale</t>
  </si>
  <si>
    <t>10/20/2023</t>
  </si>
  <si>
    <t>12/3/2023</t>
  </si>
  <si>
    <t>2300-600</t>
  </si>
  <si>
    <t>3929   Pt. Eden Way, Bldg. N</t>
  </si>
  <si>
    <t>FB PVC</t>
  </si>
  <si>
    <t>08/02/2024</t>
  </si>
  <si>
    <t>2/18/2026</t>
  </si>
  <si>
    <t>2300-615</t>
  </si>
  <si>
    <t>980   41st Street.</t>
  </si>
  <si>
    <t>Oakland</t>
  </si>
  <si>
    <t>11/14/2023</t>
  </si>
  <si>
    <t>2300-620</t>
  </si>
  <si>
    <t>777   Brannan St.</t>
  </si>
  <si>
    <t>San   Francisco</t>
  </si>
  <si>
    <t>2300-631</t>
  </si>
  <si>
    <t>805   University Ave.</t>
  </si>
  <si>
    <t>Los   Gatos</t>
  </si>
  <si>
    <t>11/15/2023</t>
  </si>
  <si>
    <t>12/27/2023</t>
  </si>
  <si>
    <t>2300-686</t>
  </si>
  <si>
    <t>202 Walnut Street</t>
  </si>
  <si>
    <t>R23</t>
  </si>
  <si>
    <t>2300-702</t>
  </si>
  <si>
    <t>700   Chesapeake Dr.</t>
  </si>
  <si>
    <t>2300-799</t>
  </si>
  <si>
    <t>50   University Avenue</t>
  </si>
  <si>
    <t>03/06/2024</t>
  </si>
  <si>
    <t>2300-831</t>
  </si>
  <si>
    <t>160   E. Tasman Dr.</t>
  </si>
  <si>
    <t>02/29/2024</t>
  </si>
  <si>
    <t>2300-981</t>
  </si>
  <si>
    <t>2100 Mt Diablo</t>
  </si>
  <si>
    <t>Danville</t>
  </si>
  <si>
    <t>01/05/2024</t>
  </si>
  <si>
    <t>2301-014</t>
  </si>
  <si>
    <t>374   S 1st St.</t>
  </si>
  <si>
    <t>12/15/2023</t>
  </si>
  <si>
    <t>2301-015</t>
  </si>
  <si>
    <t>2121 Zuckerman Road</t>
  </si>
  <si>
    <t>Stockton</t>
  </si>
  <si>
    <t>01/30/2024</t>
  </si>
  <si>
    <t>3/26/2024</t>
  </si>
  <si>
    <t>2400-062</t>
  </si>
  <si>
    <t>1140   Veterans Blvd.</t>
  </si>
  <si>
    <t>South   San Francisco</t>
  </si>
  <si>
    <t>08/05/2024</t>
  </si>
  <si>
    <t>2400-075</t>
  </si>
  <si>
    <t>1221   Detroit Ave.</t>
  </si>
  <si>
    <t>03/28/2024</t>
  </si>
  <si>
    <t>2400-165</t>
  </si>
  <si>
    <t>2323   Tuley Road</t>
  </si>
  <si>
    <t>Paso   Robles</t>
  </si>
  <si>
    <t>05/07/2024</t>
  </si>
  <si>
    <t>7/1/2024</t>
  </si>
  <si>
    <t>2400-166</t>
  </si>
  <si>
    <t>3100   Telegraph Ave.</t>
  </si>
  <si>
    <t>135 mil</t>
  </si>
  <si>
    <t>2400-167</t>
  </si>
  <si>
    <t>500   San Pablo Ave.</t>
  </si>
  <si>
    <t>Albany</t>
  </si>
  <si>
    <t>07/18/2024</t>
  </si>
  <si>
    <t>9/20/2024</t>
  </si>
  <si>
    <t>2400-221</t>
  </si>
  <si>
    <t>125   Valley Dr.</t>
  </si>
  <si>
    <t>06/21/2024</t>
  </si>
  <si>
    <t>2400-222</t>
  </si>
  <si>
    <t>455   Valley Dr.</t>
  </si>
  <si>
    <t>07/12/2024</t>
  </si>
  <si>
    <t>2400-308</t>
  </si>
  <si>
    <t>2100   Mt Diablo Scenic Blvd.</t>
  </si>
  <si>
    <t>04/28/2024</t>
  </si>
  <si>
    <t>2400-309</t>
  </si>
  <si>
    <t>713   Old County Rd.</t>
  </si>
  <si>
    <t>07/10/2024</t>
  </si>
  <si>
    <t>8/1/2024</t>
  </si>
  <si>
    <t>2400-363</t>
  </si>
  <si>
    <t>570-590   Eccles Avenue</t>
  </si>
  <si>
    <t>SM-1P-XE</t>
  </si>
  <si>
    <t>Emulsion 1-ply @ 6 gal</t>
  </si>
  <si>
    <t>2400-368</t>
  </si>
  <si>
    <t>75   Shoreway Rd.</t>
  </si>
  <si>
    <t>San   Carlos</t>
  </si>
  <si>
    <t>8/13/2025</t>
  </si>
  <si>
    <t>2400-407</t>
  </si>
  <si>
    <t>6700   Santa Rita Rd</t>
  </si>
  <si>
    <t>Pleasanton</t>
  </si>
  <si>
    <t>06/28/2024</t>
  </si>
  <si>
    <t>2400-430 &amp; 2400-429</t>
  </si>
  <si>
    <t>1650-1700 Technology Avenue</t>
  </si>
  <si>
    <t>San Jose</t>
  </si>
  <si>
    <t>09/11/2024</t>
  </si>
  <si>
    <t>2400-431</t>
  </si>
  <si>
    <t>5300   Hellyer Avenue</t>
  </si>
  <si>
    <t>10/09/2024</t>
  </si>
  <si>
    <t>7/1/2025</t>
  </si>
  <si>
    <t>2400-488</t>
  </si>
  <si>
    <t>701   East El Camino Real</t>
  </si>
  <si>
    <t>Mountain   View</t>
  </si>
  <si>
    <t>07/11/2025</t>
  </si>
  <si>
    <t>2400-489</t>
  </si>
  <si>
    <t>2540   N. First St.</t>
  </si>
  <si>
    <t>01/25/2025</t>
  </si>
  <si>
    <t>2400-490</t>
  </si>
  <si>
    <t>680   N McCarthy Blvd.</t>
  </si>
  <si>
    <t>Milpitas</t>
  </si>
  <si>
    <t>SMEA-3P-6xE</t>
  </si>
  <si>
    <t>10/17/2024</t>
  </si>
  <si>
    <t>2400-493</t>
  </si>
  <si>
    <t>601/605   California</t>
  </si>
  <si>
    <t>2400-494</t>
  </si>
  <si>
    <t>13472   Marlay Avenue</t>
  </si>
  <si>
    <t>Fontana</t>
  </si>
  <si>
    <t>RhinoBond</t>
  </si>
  <si>
    <t>2/12/2025</t>
  </si>
  <si>
    <t>2400-527</t>
  </si>
  <si>
    <t>08/09/2024</t>
  </si>
  <si>
    <t>2400-528</t>
  </si>
  <si>
    <t>1465 N Carolan Ave</t>
  </si>
  <si>
    <t>Burlingame</t>
  </si>
  <si>
    <t>07/16/2024</t>
  </si>
  <si>
    <t>2400-547</t>
  </si>
  <si>
    <t>39700   Eureka Drive</t>
  </si>
  <si>
    <t>Newark</t>
  </si>
  <si>
    <t>03/21/2025</t>
  </si>
  <si>
    <t>2400-548</t>
  </si>
  <si>
    <t>39870   Eureka Dr.</t>
  </si>
  <si>
    <t>05/12/2025</t>
  </si>
  <si>
    <t>2400-549</t>
  </si>
  <si>
    <t>31288   San Benito Street</t>
  </si>
  <si>
    <t>11/11/2024</t>
  </si>
  <si>
    <t>2400-550</t>
  </si>
  <si>
    <t>1   Park Place</t>
  </si>
  <si>
    <t>Dublin</t>
  </si>
  <si>
    <t>10/24/2024</t>
  </si>
  <si>
    <t>2400-653</t>
  </si>
  <si>
    <t>6000   Shoreline Court</t>
  </si>
  <si>
    <t>12/30/2024</t>
  </si>
  <si>
    <t>2400-666</t>
  </si>
  <si>
    <t>1001-1111   El Camino Real</t>
  </si>
  <si>
    <t>07/30/2025</t>
  </si>
  <si>
    <t>2400-712</t>
  </si>
  <si>
    <t>1275   Broadway Plaza</t>
  </si>
  <si>
    <t>Walnut   Creek</t>
  </si>
  <si>
    <t>11/29/2024</t>
  </si>
  <si>
    <t>2400-734</t>
  </si>
  <si>
    <t>30944   San Clemente</t>
  </si>
  <si>
    <t>CGF Polyiso</t>
  </si>
  <si>
    <t>02/21/2025</t>
  </si>
  <si>
    <t>9/8/2025</t>
  </si>
  <si>
    <t>2400-760</t>
  </si>
  <si>
    <t>01/17/2025</t>
  </si>
  <si>
    <t>2400-761</t>
  </si>
  <si>
    <t>3823   Harrison St.</t>
  </si>
  <si>
    <t>2400-816</t>
  </si>
  <si>
    <t>1021 Howard Ave</t>
  </si>
  <si>
    <t>San Carlos</t>
  </si>
  <si>
    <t>01/23/2025</t>
  </si>
  <si>
    <t>2400-925</t>
  </si>
  <si>
    <t>1108   Murphys Grade Road</t>
  </si>
  <si>
    <t>Angels   Camp</t>
  </si>
  <si>
    <t>12/11/2024</t>
  </si>
  <si>
    <t>2500-021</t>
  </si>
  <si>
    <t>6200 Stoneridge Mall Road</t>
  </si>
  <si>
    <t>03/13/2026</t>
  </si>
  <si>
    <t>2500-129</t>
  </si>
  <si>
    <t>500   Saginaw Dr.</t>
  </si>
  <si>
    <t>2500-130</t>
  </si>
  <si>
    <t>3956   Pt. Eden Way, Bldg. D</t>
  </si>
  <si>
    <t>12/05/2025</t>
  </si>
  <si>
    <t>2500-131</t>
  </si>
  <si>
    <t>300   Saginaw Drive</t>
  </si>
  <si>
    <t>2500-136</t>
  </si>
  <si>
    <t>458   E Hill Road</t>
  </si>
  <si>
    <t>Willits</t>
  </si>
  <si>
    <t>01/30/2025</t>
  </si>
  <si>
    <t>3/19/2025</t>
  </si>
  <si>
    <t>2500-188</t>
  </si>
  <si>
    <t>380   Airport Street</t>
  </si>
  <si>
    <t>Half   Moon Bay</t>
  </si>
  <si>
    <t>11/21/2025</t>
  </si>
  <si>
    <t>2/20/2026</t>
  </si>
  <si>
    <t>2500-209</t>
  </si>
  <si>
    <t>5480 Great America Parkway</t>
  </si>
  <si>
    <t>2500-210</t>
  </si>
  <si>
    <t>250-254   E Hacienda Avenue</t>
  </si>
  <si>
    <t>Campbell</t>
  </si>
  <si>
    <t>04/28/2025</t>
  </si>
  <si>
    <t>2500-222</t>
  </si>
  <si>
    <t>2650   Bayshore Blvd.</t>
  </si>
  <si>
    <t>Daly   City</t>
  </si>
  <si>
    <t>80 mil</t>
  </si>
  <si>
    <t>9/26/2025</t>
  </si>
  <si>
    <t>2500-263</t>
  </si>
  <si>
    <t>124 Merrydale Rd</t>
  </si>
  <si>
    <t>San Rafael</t>
  </si>
  <si>
    <t>04/07/2025</t>
  </si>
  <si>
    <t>2500-279</t>
  </si>
  <si>
    <t>2003   E. Bayshore Rd.</t>
  </si>
  <si>
    <t>04/09/2025</t>
  </si>
  <si>
    <t>2500-325</t>
  </si>
  <si>
    <t>33261   Central Ave.</t>
  </si>
  <si>
    <t>Union   City</t>
  </si>
  <si>
    <t>08/29/2025</t>
  </si>
  <si>
    <t>2500-326</t>
  </si>
  <si>
    <t>1954   Williams St.</t>
  </si>
  <si>
    <t>2500-327</t>
  </si>
  <si>
    <t>8652-8674   Thornton Ave.</t>
  </si>
  <si>
    <t>08/05/2025</t>
  </si>
  <si>
    <t>2500-328</t>
  </si>
  <si>
    <t>8602   Thornton Ave.</t>
  </si>
  <si>
    <t>08/27/2025</t>
  </si>
  <si>
    <t>2500-329</t>
  </si>
  <si>
    <t>2311-2319   Lincoln Ave.</t>
  </si>
  <si>
    <t>2500-330</t>
  </si>
  <si>
    <t>40547   Albrae St.</t>
  </si>
  <si>
    <t>08/19/2025</t>
  </si>
  <si>
    <t>2500-351</t>
  </si>
  <si>
    <t>25149 S Schulte Road</t>
  </si>
  <si>
    <t>Tracy</t>
  </si>
  <si>
    <t>02/25/2026</t>
  </si>
  <si>
    <t>2500-352</t>
  </si>
  <si>
    <t>25176 S Schulte Road</t>
  </si>
  <si>
    <t>09/22/2025</t>
  </si>
  <si>
    <t>2500-376</t>
  </si>
  <si>
    <t>2910   Scott Blvd</t>
  </si>
  <si>
    <t>2500-377</t>
  </si>
  <si>
    <t>3100-3178   Laurelview Court</t>
  </si>
  <si>
    <t>07/09/2025</t>
  </si>
  <si>
    <t>2500-378</t>
  </si>
  <si>
    <t>1550   Montague Expy.</t>
  </si>
  <si>
    <t>2500-379</t>
  </si>
  <si>
    <t>26235   Research Rd.</t>
  </si>
  <si>
    <t>2500-380</t>
  </si>
  <si>
    <t>48000   Fremont Blvd.</t>
  </si>
  <si>
    <t>2500-384</t>
  </si>
  <si>
    <t>6654   Koll Center Pkwy.</t>
  </si>
  <si>
    <t>07/18/2025</t>
  </si>
  <si>
    <t>2500-456</t>
  </si>
  <si>
    <t>430   W. California Ave.</t>
  </si>
  <si>
    <t>06/12/2025</t>
  </si>
  <si>
    <t>2500-468</t>
  </si>
  <si>
    <t>729   Old County Rd.</t>
  </si>
  <si>
    <t>10/07/2025</t>
  </si>
  <si>
    <t>2500-489</t>
  </si>
  <si>
    <t>200 Sheridan Ave</t>
  </si>
  <si>
    <t>Palo Alto</t>
  </si>
  <si>
    <t>2500-490</t>
  </si>
  <si>
    <t>3391 Arden Road</t>
  </si>
  <si>
    <t>2500-491</t>
  </si>
  <si>
    <t>50   S San Mateo Drive</t>
  </si>
  <si>
    <t>San   Mateo</t>
  </si>
  <si>
    <t>R19</t>
  </si>
  <si>
    <t>12/16/2025</t>
  </si>
  <si>
    <t>2500-492</t>
  </si>
  <si>
    <t>1200   Franquette Avenue</t>
  </si>
  <si>
    <t>2500-493</t>
  </si>
  <si>
    <t>2901   Bayview Dr.</t>
  </si>
  <si>
    <t>2500-499</t>
  </si>
  <si>
    <t>3527   Arden Road</t>
  </si>
  <si>
    <t>10/21/2025</t>
  </si>
  <si>
    <t>2500-514</t>
  </si>
  <si>
    <t>20800 Hesparian Blvd</t>
  </si>
  <si>
    <t>11/20/2025</t>
  </si>
  <si>
    <t>2500-578</t>
  </si>
  <si>
    <t>3910 Brickway Blvd</t>
  </si>
  <si>
    <t>Santa Rosa</t>
  </si>
  <si>
    <t>10/17/2025</t>
  </si>
  <si>
    <t>2500-615</t>
  </si>
  <si>
    <t>3160   Kerner Boulevard</t>
  </si>
  <si>
    <t>San   Rafael</t>
  </si>
  <si>
    <t>02/27/2026</t>
  </si>
  <si>
    <t>2500-669</t>
  </si>
  <si>
    <t>1220   Harbor Bay Parkway</t>
  </si>
  <si>
    <t>01/20/2026</t>
  </si>
  <si>
    <t>2500-822</t>
  </si>
  <si>
    <t>02/21/2026</t>
  </si>
  <si>
    <t>2500-879</t>
  </si>
  <si>
    <t>2180 Post Street</t>
  </si>
  <si>
    <t>01/30/2026</t>
  </si>
  <si>
    <t>2500-893</t>
  </si>
  <si>
    <t>29822 County Rd 28</t>
  </si>
  <si>
    <t>Winters</t>
  </si>
  <si>
    <t>11/05/2025</t>
  </si>
  <si>
    <t>12/26/2025</t>
  </si>
  <si>
    <t>2500-894</t>
  </si>
  <si>
    <t>3255   Victor St.</t>
  </si>
  <si>
    <t>11/24/2025</t>
  </si>
  <si>
    <t>2500-997</t>
  </si>
  <si>
    <t>33733   CA-89</t>
  </si>
  <si>
    <t>Westwood</t>
  </si>
  <si>
    <t>11/10/2025</t>
  </si>
  <si>
    <t>2501-018</t>
  </si>
  <si>
    <t>1760   Cesar Chavez St.</t>
  </si>
  <si>
    <t>02/23/2026</t>
  </si>
  <si>
    <t>2600-031</t>
  </si>
  <si>
    <t>1600   Technology Drive</t>
  </si>
  <si>
    <t>04/27/2026</t>
  </si>
  <si>
    <t>2600-032</t>
  </si>
  <si>
    <t>1820   S Grant St</t>
  </si>
  <si>
    <t>2600-138</t>
  </si>
  <si>
    <t>2025   Soquel Avenue</t>
  </si>
  <si>
    <t>Santa   Cruz</t>
  </si>
  <si>
    <t>05/19/2026</t>
  </si>
  <si>
    <t>2600-139</t>
  </si>
  <si>
    <t>24548 Clawiter Road</t>
  </si>
  <si>
    <t>01/19/2026</t>
  </si>
  <si>
    <t>2600-141</t>
  </si>
  <si>
    <t>1021-1071 Yosemite Drive</t>
  </si>
  <si>
    <t>05/22/2026</t>
  </si>
  <si>
    <t>2600-142</t>
  </si>
  <si>
    <t>8455   Pardee Dr.</t>
  </si>
  <si>
    <t>05/18/2026</t>
  </si>
  <si>
    <t>2600-143</t>
  </si>
  <si>
    <t>1950   Williams St.</t>
  </si>
  <si>
    <t>2600-144</t>
  </si>
  <si>
    <t>2031   Burroughs Ave.</t>
  </si>
  <si>
    <t>04/14/2026</t>
  </si>
  <si>
    <t>2600-145</t>
  </si>
  <si>
    <t>1401   Factor Ave.</t>
  </si>
  <si>
    <t>04/28/2026</t>
  </si>
  <si>
    <t>2600-146</t>
  </si>
  <si>
    <t>3775 Bayshore Blvd</t>
  </si>
  <si>
    <t>2600-147</t>
  </si>
  <si>
    <t>185   Park Lane</t>
  </si>
  <si>
    <t>05/25/2026</t>
  </si>
  <si>
    <t>2600-148</t>
  </si>
  <si>
    <t>1700   Fairway Drive</t>
  </si>
  <si>
    <t>2600-149</t>
  </si>
  <si>
    <t>280 Valley Drive</t>
  </si>
  <si>
    <t>2600-160</t>
  </si>
  <si>
    <t>3480 Willow Pass Rd</t>
  </si>
  <si>
    <t>02/09/2026</t>
  </si>
  <si>
    <t>2600-161</t>
  </si>
  <si>
    <t>5225 Terner Way</t>
  </si>
  <si>
    <t>02/16/2026</t>
  </si>
  <si>
    <t>2600-270</t>
  </si>
  <si>
    <t>2130 Southwest Expressway</t>
  </si>
  <si>
    <t>R5.6</t>
  </si>
  <si>
    <t>06/10/2026</t>
  </si>
  <si>
    <t>2600-292</t>
  </si>
  <si>
    <t>611 Gateway Blvd</t>
  </si>
  <si>
    <t>South San Francisco</t>
  </si>
  <si>
    <t>2600-384</t>
  </si>
  <si>
    <t>5601 San Leandro Street</t>
  </si>
  <si>
    <t>05/05/2026</t>
  </si>
  <si>
    <t>2600-385</t>
  </si>
  <si>
    <t>790 El Camino Real</t>
  </si>
  <si>
    <t>05/20/2026</t>
  </si>
  <si>
    <t>2600-422</t>
  </si>
  <si>
    <t>1321-1325 Howe Avenue</t>
  </si>
  <si>
    <t>Sacramento</t>
  </si>
  <si>
    <t>2600-423</t>
  </si>
  <si>
    <t>1024, 1231, 1341 W Robinhood Drive</t>
  </si>
  <si>
    <t>2400-878</t>
  </si>
  <si>
    <t>843 Auburn Ct.</t>
  </si>
  <si>
    <t>4/14/2025</t>
  </si>
  <si>
    <t>2400-969</t>
  </si>
  <si>
    <t>1600-1640 Atlantic St.</t>
  </si>
  <si>
    <t>Union City</t>
  </si>
  <si>
    <t>11/19/2025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</si>
</sst>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1" fillId="0" borderId="1" xfId="1" applyBorder="1" applyAlignment="1">
      <alignment horizontal="center"/>
    </xf>
    <xf numFmtId="44" fontId="2" fillId="0" borderId="1" xfId="1" applyFont="1" applyBorder="1" applyAlignment="1">
      <alignment horizontal="center" wrapText="1"/>
    </xf>
    <xf numFmtId="0" fontId="0" fillId="0" borderId="1" xfId="0" applyBorder="1"/>
    <xf numFmtId="44" fontId="0" fillId="0" borderId="1" xfId="0" applyNumberFormat="1" applyBorder="1"/>
    <xf numFmtId="2" fontId="0" fillId="0" borderId="1" xfId="0" applyNumberFormat="1" applyBorder="1" applyAlignment="1">
      <alignment horizontal="center"/>
    </xf>
    <xf numFmtId="44" fontId="1" fillId="0" borderId="0" xfId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4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0" xfId="0" applyFill="1"/>
    <xf numFmtId="44" fontId="1" fillId="2" borderId="1" xfId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44" fontId="0" fillId="2" borderId="1" xfId="0" applyNumberFormat="1" applyFill="1" applyBorder="1"/>
    <xf numFmtId="0" fontId="0" fillId="2" borderId="1" xfId="0" applyFill="1" applyBorder="1"/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4" fontId="0" fillId="2" borderId="0" xfId="0" applyNumberFormat="1" applyFill="1"/>
    <xf numFmtId="44" fontId="1" fillId="2" borderId="0" xfId="1" applyFill="1" applyAlignment="1">
      <alignment horizontal="center"/>
    </xf>
    <xf numFmtId="2" fontId="0" fillId="2" borderId="0" xfId="0" applyNumberFormat="1" applyFill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4" fontId="0" fillId="0" borderId="1" xfId="0" applyNumberFormat="1" applyBorder="1"/>
    <xf numFmtId="4" fontId="0" fillId="2" borderId="1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44"/>
  <sheetViews>
    <sheetView tabSelected="1" workbookViewId="0">
      <pane xSplit="2" ySplit="1" topLeftCell="AX114" activePane="bottomRight" state="frozen"/>
      <selection pane="topRight"/>
      <selection pane="bottomLeft"/>
      <selection pane="bottomRight" activeCell="BC1" sqref="BC1"/>
    </sheetView>
  </sheetViews>
  <sheetFormatPr defaultColWidth="8.7109375" defaultRowHeight="15" x14ac:dyDescent="0.25"/>
  <cols>
    <col min="1" max="13" width="15.5703125" style="3" customWidth="1"/>
    <col min="14" max="14" width="15.5703125" style="5" customWidth="1"/>
    <col min="15" max="15" width="15.5703125" style="3" customWidth="1"/>
    <col min="16" max="17" width="15.5703125" style="4" customWidth="1"/>
    <col min="18" max="19" width="15.5703125" style="3" customWidth="1"/>
    <col min="20" max="65" width="15.5703125" style="7" customWidth="1"/>
    <col min="66" max="76" width="12.5703125" style="7" customWidth="1"/>
    <col min="77" max="85" width="8.7109375" style="7" customWidth="1"/>
    <col min="86" max="16384" width="8.7109375" style="7"/>
  </cols>
  <sheetData>
    <row r="1" spans="1:66" s="1" customFormat="1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 s="3" t="s">
        <v>66</v>
      </c>
      <c r="B2" s="3" t="s">
        <v>67</v>
      </c>
      <c r="C2" s="3" t="s">
        <v>68</v>
      </c>
      <c r="D2" s="3" t="s">
        <v>69</v>
      </c>
      <c r="F2" s="3">
        <v>2</v>
      </c>
      <c r="I2" s="3" t="s">
        <v>70</v>
      </c>
      <c r="J2" s="3" t="s">
        <v>71</v>
      </c>
      <c r="K2" s="3" t="s">
        <v>72</v>
      </c>
      <c r="L2" s="3" t="s">
        <v>73</v>
      </c>
      <c r="M2" s="3" t="s">
        <v>74</v>
      </c>
      <c r="N2" s="3" t="s">
        <v>72</v>
      </c>
      <c r="O2" s="5">
        <v>592584</v>
      </c>
      <c r="P2" s="3">
        <v>1240</v>
      </c>
      <c r="Q2" s="4">
        <v>43025</v>
      </c>
      <c r="R2" s="3" t="s">
        <v>75</v>
      </c>
      <c r="S2" s="9">
        <v>379.25</v>
      </c>
      <c r="T2" s="9">
        <f t="shared" ref="T2:T33" si="0">P2/S2</f>
        <v>3.2696110744891231</v>
      </c>
      <c r="U2" s="8">
        <v>3084.38</v>
      </c>
      <c r="V2" s="8">
        <v>16753.88</v>
      </c>
      <c r="W2" s="8">
        <v>2088.34</v>
      </c>
      <c r="Z2" s="8">
        <v>1187.21</v>
      </c>
      <c r="AD2" s="8">
        <v>2294</v>
      </c>
      <c r="AE2" s="8">
        <v>3161.08</v>
      </c>
      <c r="AG2" s="8">
        <v>60</v>
      </c>
      <c r="AH2" s="8">
        <v>12600</v>
      </c>
      <c r="AI2" s="8">
        <v>85257.94</v>
      </c>
      <c r="AJ2" s="8">
        <v>34966.75</v>
      </c>
      <c r="AK2" s="8">
        <v>12435.43</v>
      </c>
      <c r="AQ2" s="8">
        <v>560.6</v>
      </c>
      <c r="AS2" s="8">
        <v>16380.01</v>
      </c>
      <c r="AV2" s="8">
        <v>46509.9</v>
      </c>
      <c r="AZ2" s="8">
        <v>5376.0400000000009</v>
      </c>
      <c r="BA2" s="8">
        <v>58340</v>
      </c>
      <c r="BB2" s="8">
        <v>4449.13</v>
      </c>
      <c r="BC2" s="8">
        <v>346.41</v>
      </c>
      <c r="BD2" s="8"/>
      <c r="BE2" s="8">
        <v>20752.12</v>
      </c>
      <c r="BF2" s="8">
        <v>63.16</v>
      </c>
      <c r="BH2" s="8">
        <v>54885.57</v>
      </c>
      <c r="BJ2" s="8">
        <v>6477.25</v>
      </c>
      <c r="BK2" s="8">
        <v>2635.8</v>
      </c>
      <c r="BL2" s="8">
        <f t="shared" ref="BL2:BL33" si="1">SUM(U2:BK2)</f>
        <v>390665</v>
      </c>
      <c r="BM2" s="8">
        <f t="shared" ref="BM2:BM33" si="2">SUM(U2:AG2)-X2</f>
        <v>28628.89</v>
      </c>
      <c r="BN2" s="8">
        <f t="shared" ref="BN2:BN33" si="3">SUM(AK2:BJ2)-BA2-BD2</f>
        <v>168235.62000000002</v>
      </c>
    </row>
    <row r="3" spans="1:66" x14ac:dyDescent="0.25">
      <c r="A3" s="3" t="s">
        <v>76</v>
      </c>
      <c r="B3" s="3" t="s">
        <v>77</v>
      </c>
      <c r="C3" s="3" t="s">
        <v>78</v>
      </c>
      <c r="D3" s="3" t="s">
        <v>79</v>
      </c>
      <c r="I3" s="3" t="s">
        <v>80</v>
      </c>
      <c r="J3" s="3" t="s">
        <v>81</v>
      </c>
      <c r="K3" s="3" t="s">
        <v>72</v>
      </c>
      <c r="L3" s="3" t="s">
        <v>73</v>
      </c>
      <c r="M3" s="3" t="s">
        <v>74</v>
      </c>
      <c r="N3" s="3" t="s">
        <v>72</v>
      </c>
      <c r="O3" s="5">
        <v>260000</v>
      </c>
      <c r="P3" s="3">
        <v>630</v>
      </c>
      <c r="Q3" s="4">
        <v>43251</v>
      </c>
      <c r="R3" s="3" t="s">
        <v>82</v>
      </c>
      <c r="S3" s="9">
        <v>149.5</v>
      </c>
      <c r="T3" s="9">
        <f t="shared" si="0"/>
        <v>4.2140468227424748</v>
      </c>
      <c r="U3" s="8">
        <v>2238</v>
      </c>
      <c r="V3" s="8">
        <v>258.52</v>
      </c>
      <c r="W3" s="8">
        <v>2530.7800000000002</v>
      </c>
      <c r="Z3" s="8">
        <v>1652.73</v>
      </c>
      <c r="AE3" s="8">
        <v>2104.5300000000002</v>
      </c>
      <c r="AG3" s="8">
        <v>1058.05</v>
      </c>
      <c r="AI3" s="8">
        <v>43735.47</v>
      </c>
      <c r="AJ3" s="8">
        <v>7125.91</v>
      </c>
      <c r="AK3" s="8">
        <v>6828.49</v>
      </c>
      <c r="AQ3" s="8">
        <v>1269.5999999999999</v>
      </c>
      <c r="AS3" s="8">
        <v>13353.14</v>
      </c>
      <c r="AV3" s="8">
        <v>25173.75</v>
      </c>
      <c r="AZ3" s="8">
        <v>28756.53</v>
      </c>
      <c r="BA3" s="8">
        <v>848.4</v>
      </c>
      <c r="BB3" s="8">
        <v>2842.54</v>
      </c>
      <c r="BC3" s="8">
        <v>430.33</v>
      </c>
      <c r="BE3" s="8">
        <v>11278.62</v>
      </c>
      <c r="BH3" s="8">
        <v>41584.22</v>
      </c>
      <c r="BJ3" s="8">
        <v>3501.55</v>
      </c>
      <c r="BL3" s="8">
        <f t="shared" si="1"/>
        <v>196571.15999999997</v>
      </c>
      <c r="BM3" s="8">
        <f t="shared" si="2"/>
        <v>9842.61</v>
      </c>
      <c r="BN3" s="8">
        <f t="shared" si="3"/>
        <v>135018.76999999999</v>
      </c>
    </row>
    <row r="4" spans="1:66" x14ac:dyDescent="0.25">
      <c r="A4" s="3" t="s">
        <v>83</v>
      </c>
      <c r="B4" s="3" t="s">
        <v>84</v>
      </c>
      <c r="C4" s="3" t="s">
        <v>78</v>
      </c>
      <c r="D4" s="3" t="s">
        <v>69</v>
      </c>
      <c r="F4" s="3">
        <v>2</v>
      </c>
      <c r="I4" s="3" t="s">
        <v>70</v>
      </c>
      <c r="J4" s="3" t="s">
        <v>71</v>
      </c>
      <c r="K4" s="3" t="s">
        <v>72</v>
      </c>
      <c r="L4" s="3" t="s">
        <v>73</v>
      </c>
      <c r="M4" s="3" t="s">
        <v>74</v>
      </c>
      <c r="N4" s="3" t="s">
        <v>72</v>
      </c>
      <c r="O4" s="5">
        <v>256734</v>
      </c>
      <c r="P4" s="3">
        <v>265</v>
      </c>
      <c r="Q4" s="4">
        <v>43692</v>
      </c>
      <c r="R4" s="3" t="s">
        <v>82</v>
      </c>
      <c r="S4" s="9">
        <v>170.3125</v>
      </c>
      <c r="T4" s="9">
        <f t="shared" si="0"/>
        <v>1.5559633027522937</v>
      </c>
      <c r="U4" s="8">
        <v>3080.4</v>
      </c>
      <c r="V4" s="8">
        <v>4575.7</v>
      </c>
      <c r="W4" s="8">
        <v>1184.4000000000001</v>
      </c>
      <c r="Z4" s="8">
        <v>2140.2399999999998</v>
      </c>
      <c r="AA4" s="8">
        <v>12</v>
      </c>
      <c r="AE4" s="8">
        <v>900</v>
      </c>
      <c r="AI4" s="8">
        <v>49601.51</v>
      </c>
      <c r="AJ4" s="8">
        <v>9075.51</v>
      </c>
      <c r="AK4" s="8">
        <v>5760.43</v>
      </c>
      <c r="AQ4" s="8">
        <v>676.8</v>
      </c>
      <c r="AS4" s="8">
        <v>11502.58</v>
      </c>
      <c r="AV4" s="8">
        <v>34831.46</v>
      </c>
      <c r="AZ4" s="8">
        <v>3947.32</v>
      </c>
      <c r="BA4" s="8">
        <v>3547.5</v>
      </c>
      <c r="BB4" s="8">
        <v>2231.61</v>
      </c>
      <c r="BC4" s="8">
        <v>360.53</v>
      </c>
      <c r="BE4" s="8">
        <v>6934.92</v>
      </c>
      <c r="BH4" s="8">
        <v>12223.2</v>
      </c>
      <c r="BJ4" s="8">
        <v>833.82</v>
      </c>
      <c r="BL4" s="8">
        <f t="shared" si="1"/>
        <v>153419.93000000002</v>
      </c>
      <c r="BM4" s="8">
        <f t="shared" si="2"/>
        <v>11892.74</v>
      </c>
      <c r="BN4" s="8">
        <f t="shared" si="3"/>
        <v>79302.670000000013</v>
      </c>
    </row>
    <row r="5" spans="1:66" x14ac:dyDescent="0.25">
      <c r="A5" s="3" t="s">
        <v>85</v>
      </c>
      <c r="B5" s="3" t="s">
        <v>86</v>
      </c>
      <c r="C5" s="3" t="s">
        <v>78</v>
      </c>
      <c r="D5" s="3" t="s">
        <v>69</v>
      </c>
      <c r="F5" s="3">
        <v>2</v>
      </c>
      <c r="I5" s="3" t="s">
        <v>70</v>
      </c>
      <c r="J5" s="3" t="s">
        <v>71</v>
      </c>
      <c r="K5" s="3" t="s">
        <v>72</v>
      </c>
      <c r="L5" s="3" t="s">
        <v>73</v>
      </c>
      <c r="M5" s="3" t="s">
        <v>74</v>
      </c>
      <c r="N5" s="3" t="s">
        <v>72</v>
      </c>
      <c r="O5" s="5">
        <v>216400</v>
      </c>
      <c r="P5" s="3">
        <v>287</v>
      </c>
      <c r="Q5" s="4">
        <v>43692</v>
      </c>
      <c r="R5" s="3" t="s">
        <v>82</v>
      </c>
      <c r="S5" s="9">
        <v>168.625</v>
      </c>
      <c r="T5" s="9">
        <f t="shared" si="0"/>
        <v>1.7020014825796888</v>
      </c>
      <c r="U5" s="8">
        <v>3760.2</v>
      </c>
      <c r="V5" s="8">
        <v>10154.76</v>
      </c>
      <c r="W5" s="8">
        <v>441.22</v>
      </c>
      <c r="Z5" s="8">
        <v>1755.94</v>
      </c>
      <c r="AE5" s="8">
        <v>465</v>
      </c>
      <c r="AG5" s="8">
        <v>100</v>
      </c>
      <c r="AI5" s="8">
        <v>47422.53</v>
      </c>
      <c r="AJ5" s="8">
        <v>7331.63</v>
      </c>
      <c r="AK5" s="8">
        <v>3478.93</v>
      </c>
      <c r="AS5" s="8">
        <v>2764.14</v>
      </c>
      <c r="AV5" s="8">
        <v>10559.12</v>
      </c>
      <c r="AZ5" s="8">
        <v>3753.35</v>
      </c>
      <c r="BA5" s="8">
        <v>2695.25</v>
      </c>
      <c r="BB5" s="8">
        <v>2146.12</v>
      </c>
      <c r="BC5" s="8">
        <v>1043.25</v>
      </c>
      <c r="BD5" s="8">
        <v>765</v>
      </c>
      <c r="BE5" s="8">
        <v>3820.45</v>
      </c>
      <c r="BH5" s="8">
        <v>15781.3</v>
      </c>
      <c r="BJ5" s="8">
        <v>2250.5</v>
      </c>
      <c r="BL5" s="8">
        <f t="shared" si="1"/>
        <v>120488.68999999999</v>
      </c>
      <c r="BM5" s="8">
        <f t="shared" si="2"/>
        <v>16677.12</v>
      </c>
      <c r="BN5" s="8">
        <f t="shared" si="3"/>
        <v>45597.16</v>
      </c>
    </row>
    <row r="6" spans="1:66" x14ac:dyDescent="0.25">
      <c r="A6" s="3" t="s">
        <v>87</v>
      </c>
      <c r="B6" s="3" t="s">
        <v>88</v>
      </c>
      <c r="C6" s="3" t="s">
        <v>78</v>
      </c>
      <c r="D6" s="3" t="s">
        <v>69</v>
      </c>
      <c r="F6" s="3">
        <v>2</v>
      </c>
      <c r="I6" s="3" t="s">
        <v>70</v>
      </c>
      <c r="J6" s="3" t="s">
        <v>71</v>
      </c>
      <c r="K6" s="3" t="s">
        <v>72</v>
      </c>
      <c r="L6" s="3" t="s">
        <v>73</v>
      </c>
      <c r="M6" s="3" t="s">
        <v>74</v>
      </c>
      <c r="N6" s="3" t="s">
        <v>72</v>
      </c>
      <c r="O6" s="5">
        <v>399365</v>
      </c>
      <c r="P6" s="3">
        <v>788</v>
      </c>
      <c r="Q6" s="3" t="s">
        <v>89</v>
      </c>
      <c r="R6" s="3" t="s">
        <v>82</v>
      </c>
      <c r="S6" s="9">
        <v>244.125</v>
      </c>
      <c r="T6" s="9">
        <f t="shared" si="0"/>
        <v>3.2278545826932925</v>
      </c>
      <c r="U6" s="8">
        <v>4634</v>
      </c>
      <c r="V6" s="8">
        <v>22572.98</v>
      </c>
      <c r="W6" s="8">
        <v>665.82</v>
      </c>
      <c r="Z6" s="8">
        <v>3399.96</v>
      </c>
      <c r="AA6" s="8">
        <v>110</v>
      </c>
      <c r="AD6" s="8">
        <v>3603.6</v>
      </c>
      <c r="AE6" s="8">
        <v>1405</v>
      </c>
      <c r="AG6" s="8">
        <v>140</v>
      </c>
      <c r="AI6" s="8">
        <v>64213.16</v>
      </c>
      <c r="AJ6" s="8">
        <v>22993.45</v>
      </c>
      <c r="AK6" s="8">
        <v>6390.31</v>
      </c>
      <c r="AQ6" s="8">
        <v>232.5</v>
      </c>
      <c r="AS6" s="8">
        <v>5048.8</v>
      </c>
      <c r="AV6" s="8">
        <v>28935.040000000001</v>
      </c>
      <c r="AZ6" s="8">
        <v>5451.2799999999988</v>
      </c>
      <c r="BA6" s="8">
        <v>26979.29</v>
      </c>
      <c r="BB6" s="8">
        <v>2062.75</v>
      </c>
      <c r="BC6" s="8">
        <v>3564.8</v>
      </c>
      <c r="BD6" s="8">
        <v>877.5</v>
      </c>
      <c r="BE6" s="8">
        <v>11936.04</v>
      </c>
      <c r="BH6" s="8">
        <v>44496.55</v>
      </c>
      <c r="BJ6" s="8">
        <v>4276.1499999999996</v>
      </c>
      <c r="BL6" s="8">
        <f t="shared" si="1"/>
        <v>263988.98000000004</v>
      </c>
      <c r="BM6" s="8">
        <f t="shared" si="2"/>
        <v>36531.360000000001</v>
      </c>
      <c r="BN6" s="8">
        <f t="shared" si="3"/>
        <v>112394.21999999997</v>
      </c>
    </row>
    <row r="7" spans="1:66" x14ac:dyDescent="0.25">
      <c r="A7" s="3" t="s">
        <v>90</v>
      </c>
      <c r="B7" s="3" t="s">
        <v>91</v>
      </c>
      <c r="C7" s="3" t="s">
        <v>92</v>
      </c>
      <c r="D7" s="3" t="s">
        <v>93</v>
      </c>
      <c r="E7" t="s">
        <v>94</v>
      </c>
      <c r="F7" s="3" t="s">
        <v>94</v>
      </c>
      <c r="G7" s="3" t="s">
        <v>95</v>
      </c>
      <c r="H7" s="3" t="s">
        <v>96</v>
      </c>
      <c r="I7" s="3" t="s">
        <v>96</v>
      </c>
      <c r="O7" s="5">
        <v>784200</v>
      </c>
      <c r="P7" s="3">
        <v>1800</v>
      </c>
      <c r="Q7" s="3" t="s">
        <v>97</v>
      </c>
      <c r="R7" s="3" t="s">
        <v>98</v>
      </c>
      <c r="S7" s="9">
        <v>336.875</v>
      </c>
      <c r="T7" s="9">
        <f t="shared" si="0"/>
        <v>5.3432282003710574</v>
      </c>
      <c r="U7" s="8">
        <v>4134.97</v>
      </c>
      <c r="V7" s="8">
        <v>13753.81</v>
      </c>
      <c r="W7" s="8">
        <v>5144.6400000000003</v>
      </c>
      <c r="Z7" s="8">
        <v>5361.73</v>
      </c>
      <c r="AE7" s="8">
        <v>6587.9999999999991</v>
      </c>
      <c r="AI7" s="8">
        <v>110466.32</v>
      </c>
      <c r="AJ7" s="8">
        <v>13639.78</v>
      </c>
      <c r="AK7" s="8">
        <v>216</v>
      </c>
      <c r="AN7" s="8">
        <v>4033.8</v>
      </c>
      <c r="AQ7" s="8">
        <v>1071.32</v>
      </c>
      <c r="AU7" s="8">
        <v>242489</v>
      </c>
      <c r="AV7" s="8">
        <v>2763.22</v>
      </c>
      <c r="AZ7" s="8">
        <v>58762.679999999993</v>
      </c>
      <c r="BA7" s="8">
        <v>135770.1</v>
      </c>
      <c r="BB7" s="8">
        <v>3797.15</v>
      </c>
      <c r="BC7" s="8">
        <v>4852</v>
      </c>
      <c r="BD7" s="8">
        <v>900</v>
      </c>
      <c r="BE7" s="8">
        <v>42589.87</v>
      </c>
      <c r="BJ7" s="8">
        <v>602</v>
      </c>
      <c r="BL7" s="8">
        <f t="shared" si="1"/>
        <v>656936.39</v>
      </c>
      <c r="BM7" s="8">
        <f t="shared" si="2"/>
        <v>34983.149999999994</v>
      </c>
      <c r="BN7" s="8">
        <f t="shared" si="3"/>
        <v>361177.04000000004</v>
      </c>
    </row>
    <row r="8" spans="1:66" x14ac:dyDescent="0.25">
      <c r="A8" s="3" t="s">
        <v>99</v>
      </c>
      <c r="B8" s="3" t="s">
        <v>100</v>
      </c>
      <c r="C8" s="3" t="s">
        <v>101</v>
      </c>
      <c r="D8" s="3" t="s">
        <v>93</v>
      </c>
      <c r="E8" t="s">
        <v>102</v>
      </c>
      <c r="F8" s="3" t="s">
        <v>102</v>
      </c>
      <c r="G8" s="3" t="s">
        <v>96</v>
      </c>
      <c r="H8" s="3" t="s">
        <v>96</v>
      </c>
      <c r="O8" s="5">
        <v>288716</v>
      </c>
      <c r="P8" s="3">
        <v>916</v>
      </c>
      <c r="Q8" s="3" t="s">
        <v>103</v>
      </c>
      <c r="R8" s="3" t="s">
        <v>104</v>
      </c>
      <c r="S8" s="9">
        <v>216</v>
      </c>
      <c r="T8" s="9">
        <f t="shared" si="0"/>
        <v>4.2407407407407405</v>
      </c>
      <c r="U8" s="8">
        <v>6509.72</v>
      </c>
      <c r="V8" s="8">
        <v>140</v>
      </c>
      <c r="W8" s="8">
        <v>1186.0999999999999</v>
      </c>
      <c r="Y8" s="8">
        <v>81.010000000000005</v>
      </c>
      <c r="Z8" s="8">
        <v>2371.4699999999998</v>
      </c>
      <c r="AA8" s="8">
        <v>1410</v>
      </c>
      <c r="AE8" s="8">
        <v>7265.94</v>
      </c>
      <c r="AG8" s="8">
        <v>40</v>
      </c>
      <c r="AI8" s="8">
        <v>69248.25</v>
      </c>
      <c r="AJ8" s="8">
        <v>13004.11</v>
      </c>
      <c r="AK8" s="8">
        <v>86.52</v>
      </c>
      <c r="AS8" s="8">
        <v>3429</v>
      </c>
      <c r="AU8" s="8">
        <v>158.5</v>
      </c>
      <c r="AZ8" s="8">
        <v>38237.89</v>
      </c>
      <c r="BA8" s="8">
        <v>8660.2800000000007</v>
      </c>
      <c r="BB8" s="8">
        <v>640.09</v>
      </c>
      <c r="BC8" s="8">
        <v>1646</v>
      </c>
      <c r="BE8" s="8">
        <v>4961.7</v>
      </c>
      <c r="BL8" s="8">
        <f t="shared" si="1"/>
        <v>159076.58000000002</v>
      </c>
      <c r="BM8" s="8">
        <f t="shared" si="2"/>
        <v>19004.239999999998</v>
      </c>
      <c r="BN8" s="8">
        <f t="shared" si="3"/>
        <v>49159.69999999999</v>
      </c>
    </row>
    <row r="9" spans="1:66" x14ac:dyDescent="0.25">
      <c r="A9" s="3" t="s">
        <v>105</v>
      </c>
      <c r="B9" s="3" t="s">
        <v>106</v>
      </c>
      <c r="C9" s="3" t="s">
        <v>78</v>
      </c>
      <c r="D9" s="3" t="s">
        <v>69</v>
      </c>
      <c r="F9" s="3">
        <v>2</v>
      </c>
      <c r="I9" s="3" t="s">
        <v>80</v>
      </c>
      <c r="J9" s="3" t="s">
        <v>81</v>
      </c>
      <c r="K9" s="3" t="s">
        <v>72</v>
      </c>
      <c r="L9" s="3" t="s">
        <v>73</v>
      </c>
      <c r="M9" s="3" t="s">
        <v>74</v>
      </c>
      <c r="N9" s="3" t="s">
        <v>72</v>
      </c>
      <c r="O9" s="5">
        <v>244982</v>
      </c>
      <c r="P9" s="3">
        <v>287</v>
      </c>
      <c r="Q9" s="3" t="s">
        <v>107</v>
      </c>
      <c r="R9" s="3" t="s">
        <v>82</v>
      </c>
      <c r="S9" s="9">
        <v>153</v>
      </c>
      <c r="T9" s="9">
        <f t="shared" si="0"/>
        <v>1.8758169934640523</v>
      </c>
      <c r="U9" s="8">
        <v>3555</v>
      </c>
      <c r="V9" s="8">
        <v>11543.56</v>
      </c>
      <c r="W9" s="8">
        <v>462</v>
      </c>
      <c r="Z9" s="8">
        <v>2295.31</v>
      </c>
      <c r="AE9" s="8">
        <v>976.02000000000044</v>
      </c>
      <c r="AG9" s="8">
        <v>100</v>
      </c>
      <c r="AI9" s="8">
        <v>51420.03</v>
      </c>
      <c r="AJ9" s="8">
        <v>9994.36</v>
      </c>
      <c r="AK9" s="8">
        <v>4980.8500000000004</v>
      </c>
      <c r="AQ9" s="8">
        <v>4342.5</v>
      </c>
      <c r="AS9" s="8">
        <v>3596.25</v>
      </c>
      <c r="AV9" s="8">
        <v>13088.16</v>
      </c>
      <c r="AZ9" s="8">
        <v>5734.3799999999992</v>
      </c>
      <c r="BA9" s="8">
        <v>5233.51</v>
      </c>
      <c r="BB9" s="8">
        <v>2932.91</v>
      </c>
      <c r="BC9" s="8">
        <v>851.25</v>
      </c>
      <c r="BD9" s="8">
        <v>1350</v>
      </c>
      <c r="BE9" s="8">
        <v>5419.53</v>
      </c>
      <c r="BH9" s="8">
        <v>15785.75</v>
      </c>
      <c r="BJ9" s="8">
        <v>3545.45</v>
      </c>
      <c r="BL9" s="8">
        <f t="shared" si="1"/>
        <v>147206.82</v>
      </c>
      <c r="BM9" s="8">
        <f t="shared" si="2"/>
        <v>18931.89</v>
      </c>
      <c r="BN9" s="8">
        <f t="shared" si="3"/>
        <v>60277.029999999992</v>
      </c>
    </row>
    <row r="10" spans="1:66" x14ac:dyDescent="0.25">
      <c r="A10" s="3" t="s">
        <v>108</v>
      </c>
      <c r="B10" s="3" t="s">
        <v>109</v>
      </c>
      <c r="C10" s="3" t="s">
        <v>78</v>
      </c>
      <c r="D10" s="3" t="s">
        <v>69</v>
      </c>
      <c r="F10" s="3">
        <v>2</v>
      </c>
      <c r="I10" s="3" t="s">
        <v>80</v>
      </c>
      <c r="J10" s="3" t="s">
        <v>81</v>
      </c>
      <c r="K10" s="3" t="s">
        <v>72</v>
      </c>
      <c r="L10" s="3" t="s">
        <v>73</v>
      </c>
      <c r="M10" s="3" t="s">
        <v>74</v>
      </c>
      <c r="N10" s="3" t="s">
        <v>72</v>
      </c>
      <c r="O10" s="5">
        <v>533200</v>
      </c>
      <c r="P10" s="3">
        <v>950</v>
      </c>
      <c r="Q10" s="3" t="s">
        <v>110</v>
      </c>
      <c r="R10" s="3" t="s">
        <v>82</v>
      </c>
      <c r="S10" s="9">
        <v>281.3125</v>
      </c>
      <c r="T10" s="9">
        <f t="shared" si="0"/>
        <v>3.3770273272606088</v>
      </c>
      <c r="U10" s="8">
        <v>9949.5</v>
      </c>
      <c r="V10" s="8">
        <v>19264.5</v>
      </c>
      <c r="W10" s="8">
        <v>290.83999999999997</v>
      </c>
      <c r="Z10" s="8">
        <v>9248.52</v>
      </c>
      <c r="AD10" s="8">
        <v>8730</v>
      </c>
      <c r="AE10" s="8">
        <v>3836.91</v>
      </c>
      <c r="AG10" s="8">
        <v>165</v>
      </c>
      <c r="AI10" s="8">
        <v>99224.83</v>
      </c>
      <c r="AJ10" s="8">
        <v>15658.76</v>
      </c>
      <c r="AK10" s="8">
        <v>19519</v>
      </c>
      <c r="AQ10" s="8">
        <v>3125.28</v>
      </c>
      <c r="AS10" s="8">
        <v>18724.560000000001</v>
      </c>
      <c r="AV10" s="8">
        <v>73922.69</v>
      </c>
      <c r="AZ10" s="8">
        <v>17784.03</v>
      </c>
      <c r="BA10" s="8">
        <v>21456.400000000001</v>
      </c>
      <c r="BB10" s="8">
        <v>1931.05</v>
      </c>
      <c r="BC10" s="8">
        <v>16883</v>
      </c>
      <c r="BE10" s="8">
        <v>25216.67</v>
      </c>
      <c r="BH10" s="8">
        <v>82002</v>
      </c>
      <c r="BJ10" s="8">
        <v>7489.5</v>
      </c>
      <c r="BL10" s="8">
        <f t="shared" si="1"/>
        <v>454423.04000000004</v>
      </c>
      <c r="BM10" s="8">
        <f t="shared" si="2"/>
        <v>51485.270000000004</v>
      </c>
      <c r="BN10" s="8">
        <f t="shared" si="3"/>
        <v>266597.77999999997</v>
      </c>
    </row>
    <row r="11" spans="1:66" x14ac:dyDescent="0.25">
      <c r="A11" s="3" t="s">
        <v>111</v>
      </c>
      <c r="B11" s="3" t="s">
        <v>112</v>
      </c>
      <c r="C11" s="3" t="s">
        <v>113</v>
      </c>
      <c r="D11" s="3" t="s">
        <v>93</v>
      </c>
      <c r="E11" t="s">
        <v>102</v>
      </c>
      <c r="F11" s="3" t="s">
        <v>102</v>
      </c>
      <c r="G11" s="3" t="s">
        <v>96</v>
      </c>
      <c r="H11" s="3" t="s">
        <v>96</v>
      </c>
      <c r="O11" s="5">
        <v>71200</v>
      </c>
      <c r="P11" s="3">
        <v>218</v>
      </c>
      <c r="Q11" s="3" t="s">
        <v>114</v>
      </c>
      <c r="R11" s="3" t="s">
        <v>115</v>
      </c>
      <c r="S11" s="9">
        <v>43.625</v>
      </c>
      <c r="T11" s="9">
        <f t="shared" si="0"/>
        <v>4.9971346704871058</v>
      </c>
      <c r="W11" s="8">
        <v>594.08000000000004</v>
      </c>
      <c r="Z11" s="8">
        <v>1061.0899999999999</v>
      </c>
      <c r="AE11" s="8">
        <v>400</v>
      </c>
      <c r="AI11" s="8">
        <v>18234.72</v>
      </c>
      <c r="AN11" s="8">
        <v>468.28</v>
      </c>
      <c r="AS11" s="8">
        <v>1076</v>
      </c>
      <c r="AU11" s="8">
        <v>14199.65</v>
      </c>
      <c r="AZ11" s="8">
        <v>3629.79</v>
      </c>
      <c r="BA11" s="8">
        <v>1474.92</v>
      </c>
      <c r="BB11" s="8">
        <v>787.03</v>
      </c>
      <c r="BC11" s="8">
        <v>96</v>
      </c>
      <c r="BE11" s="8">
        <v>2322.36</v>
      </c>
      <c r="BL11" s="8">
        <f t="shared" si="1"/>
        <v>44343.92</v>
      </c>
      <c r="BM11" s="8">
        <f t="shared" si="2"/>
        <v>2055.17</v>
      </c>
      <c r="BN11" s="8">
        <f t="shared" si="3"/>
        <v>22579.11</v>
      </c>
    </row>
    <row r="12" spans="1:66" x14ac:dyDescent="0.25">
      <c r="A12" s="3" t="s">
        <v>116</v>
      </c>
      <c r="B12" s="3" t="s">
        <v>117</v>
      </c>
      <c r="C12" s="3" t="s">
        <v>118</v>
      </c>
      <c r="D12" s="3" t="s">
        <v>93</v>
      </c>
      <c r="E12" t="s">
        <v>119</v>
      </c>
      <c r="F12" s="3" t="s">
        <v>119</v>
      </c>
      <c r="G12" s="3" t="s">
        <v>120</v>
      </c>
      <c r="H12" s="3" t="s">
        <v>96</v>
      </c>
      <c r="I12" s="3" t="s">
        <v>96</v>
      </c>
      <c r="O12" s="5">
        <v>70350</v>
      </c>
      <c r="P12" s="3">
        <v>195</v>
      </c>
      <c r="Q12" s="3" t="s">
        <v>121</v>
      </c>
      <c r="R12" s="3" t="s">
        <v>122</v>
      </c>
      <c r="S12" s="9">
        <v>58.75</v>
      </c>
      <c r="T12" s="9">
        <f t="shared" si="0"/>
        <v>3.3191489361702127</v>
      </c>
      <c r="W12" s="8">
        <v>1052.48</v>
      </c>
      <c r="Z12" s="8">
        <v>1769.64</v>
      </c>
      <c r="AE12" s="8">
        <v>2771.18</v>
      </c>
      <c r="AG12" s="8">
        <v>62.5</v>
      </c>
      <c r="AI12" s="8">
        <v>24805.26</v>
      </c>
      <c r="AK12" s="8">
        <v>392.5</v>
      </c>
      <c r="AQ12" s="8">
        <v>1300</v>
      </c>
      <c r="AS12" s="8">
        <v>220.41</v>
      </c>
      <c r="AU12" s="8">
        <v>1980</v>
      </c>
      <c r="AZ12" s="8">
        <v>25422.799999999999</v>
      </c>
      <c r="BA12" s="8"/>
      <c r="BB12" s="8">
        <v>925.44</v>
      </c>
      <c r="BC12" s="8">
        <v>1860.76</v>
      </c>
      <c r="BE12" s="8">
        <v>2790.52</v>
      </c>
      <c r="BL12" s="8">
        <f t="shared" si="1"/>
        <v>65353.490000000005</v>
      </c>
      <c r="BM12" s="8">
        <f t="shared" si="2"/>
        <v>5655.7999999999993</v>
      </c>
      <c r="BN12" s="8">
        <f t="shared" si="3"/>
        <v>34892.429999999993</v>
      </c>
    </row>
    <row r="13" spans="1:66" x14ac:dyDescent="0.25">
      <c r="A13" s="3" t="s">
        <v>123</v>
      </c>
      <c r="B13" s="3" t="s">
        <v>124</v>
      </c>
      <c r="C13" s="3" t="s">
        <v>125</v>
      </c>
      <c r="D13" s="3" t="s">
        <v>126</v>
      </c>
      <c r="J13" s="11"/>
      <c r="K13" s="11"/>
      <c r="L13" s="11"/>
      <c r="M13" s="11"/>
      <c r="N13" s="11"/>
      <c r="O13" s="5">
        <v>306547.94</v>
      </c>
      <c r="P13" s="3">
        <v>194</v>
      </c>
      <c r="Q13" t="s">
        <v>127</v>
      </c>
      <c r="R13" s="11" t="s">
        <v>128</v>
      </c>
      <c r="S13">
        <v>220.1875</v>
      </c>
      <c r="T13" s="9">
        <f t="shared" si="0"/>
        <v>0.88106727221118364</v>
      </c>
      <c r="U13">
        <v>5107.9399999999996</v>
      </c>
      <c r="V13">
        <v>1842.89</v>
      </c>
      <c r="W13">
        <v>2174.110000000001</v>
      </c>
      <c r="Z13">
        <v>5844.35</v>
      </c>
      <c r="AD13">
        <v>1570</v>
      </c>
      <c r="AE13">
        <v>15111</v>
      </c>
      <c r="AG13">
        <v>40</v>
      </c>
      <c r="AH13">
        <v>19360</v>
      </c>
      <c r="AI13">
        <v>81423.009999999995</v>
      </c>
      <c r="AJ13">
        <v>5919.46</v>
      </c>
      <c r="AK13">
        <v>8911.7000000000007</v>
      </c>
      <c r="AO13">
        <v>3911.59</v>
      </c>
      <c r="AP13">
        <v>134.57</v>
      </c>
      <c r="AQ13">
        <v>3735.62</v>
      </c>
      <c r="AS13">
        <v>15701.16</v>
      </c>
      <c r="AV13">
        <v>16693</v>
      </c>
      <c r="AZ13">
        <v>10175.870000000001</v>
      </c>
      <c r="BB13">
        <v>84.18</v>
      </c>
      <c r="BC13">
        <v>1769.94</v>
      </c>
      <c r="BD13">
        <v>5680</v>
      </c>
      <c r="BE13">
        <v>3454.63</v>
      </c>
      <c r="BH13">
        <v>22960.400000000001</v>
      </c>
      <c r="BJ13">
        <v>3240.11</v>
      </c>
      <c r="BL13" s="8">
        <f t="shared" si="1"/>
        <v>234845.52999999997</v>
      </c>
      <c r="BM13" s="8">
        <f t="shared" si="2"/>
        <v>31690.29</v>
      </c>
      <c r="BN13" s="8">
        <f t="shared" si="3"/>
        <v>90772.77</v>
      </c>
    </row>
    <row r="14" spans="1:66" x14ac:dyDescent="0.25">
      <c r="A14" s="3" t="s">
        <v>129</v>
      </c>
      <c r="B14" s="3" t="s">
        <v>130</v>
      </c>
      <c r="C14" s="3" t="s">
        <v>131</v>
      </c>
      <c r="D14" s="3" t="s">
        <v>93</v>
      </c>
      <c r="E14" t="s">
        <v>102</v>
      </c>
      <c r="F14" s="3" t="s">
        <v>102</v>
      </c>
      <c r="G14" s="3" t="s">
        <v>96</v>
      </c>
      <c r="H14" s="3" t="s">
        <v>96</v>
      </c>
      <c r="J14" s="11"/>
      <c r="K14" s="11"/>
      <c r="L14" s="11"/>
      <c r="M14" s="11"/>
      <c r="N14" s="11"/>
      <c r="O14" s="5">
        <v>94800</v>
      </c>
      <c r="P14" s="3">
        <v>333</v>
      </c>
      <c r="Q14" s="11" t="s">
        <v>132</v>
      </c>
      <c r="R14" s="11" t="s">
        <v>115</v>
      </c>
      <c r="S14" s="12">
        <v>71.375</v>
      </c>
      <c r="T14" s="9">
        <f t="shared" si="0"/>
        <v>4.6654991243432571</v>
      </c>
      <c r="W14" s="13">
        <v>544.03</v>
      </c>
      <c r="Z14" s="13">
        <v>2243.3200000000002</v>
      </c>
      <c r="AE14" s="13">
        <v>1825</v>
      </c>
      <c r="AG14" s="13">
        <v>55</v>
      </c>
      <c r="AI14" s="13">
        <v>29600.71</v>
      </c>
      <c r="AJ14" s="13">
        <v>289.57</v>
      </c>
      <c r="AQ14" s="13">
        <v>650</v>
      </c>
      <c r="AS14" s="13">
        <v>2199</v>
      </c>
      <c r="AU14" s="13">
        <v>19529.400000000001</v>
      </c>
      <c r="AZ14" s="13">
        <v>741.15</v>
      </c>
      <c r="BA14" s="13"/>
      <c r="BB14" s="13">
        <v>1029.19</v>
      </c>
      <c r="BC14" s="13">
        <v>736.25</v>
      </c>
      <c r="BE14" s="13">
        <v>449.71</v>
      </c>
      <c r="BL14" s="8">
        <f t="shared" si="1"/>
        <v>59892.33</v>
      </c>
      <c r="BM14" s="8">
        <f t="shared" si="2"/>
        <v>4667.3500000000004</v>
      </c>
      <c r="BN14" s="8">
        <f t="shared" si="3"/>
        <v>25334.7</v>
      </c>
    </row>
    <row r="15" spans="1:66" x14ac:dyDescent="0.25">
      <c r="A15" s="3" t="s">
        <v>133</v>
      </c>
      <c r="B15" s="3" t="s">
        <v>134</v>
      </c>
      <c r="C15" s="3" t="s">
        <v>135</v>
      </c>
      <c r="D15" s="3" t="s">
        <v>126</v>
      </c>
      <c r="O15" s="5">
        <v>58990</v>
      </c>
      <c r="P15" s="3">
        <v>26</v>
      </c>
      <c r="Q15" s="4">
        <v>44909</v>
      </c>
      <c r="R15" s="3" t="s">
        <v>115</v>
      </c>
      <c r="S15" s="9">
        <v>127.375</v>
      </c>
      <c r="T15" s="9">
        <f t="shared" si="0"/>
        <v>0.20412168792934249</v>
      </c>
      <c r="U15" s="8">
        <v>978.76</v>
      </c>
      <c r="W15" s="8">
        <v>759.94</v>
      </c>
      <c r="Z15" s="8">
        <v>1841.65</v>
      </c>
      <c r="AE15" s="8">
        <v>1070</v>
      </c>
      <c r="AI15" s="8">
        <v>41085.33</v>
      </c>
      <c r="AJ15" s="8">
        <v>6183.93</v>
      </c>
      <c r="AK15" s="8">
        <v>374.86</v>
      </c>
      <c r="AP15" s="8">
        <v>2200</v>
      </c>
      <c r="AQ15" s="8">
        <v>719.05</v>
      </c>
      <c r="AS15" s="8">
        <v>11938.9</v>
      </c>
      <c r="AT15" s="8">
        <v>136</v>
      </c>
      <c r="AY15" s="8">
        <v>200</v>
      </c>
      <c r="AZ15" s="8">
        <v>814.74</v>
      </c>
      <c r="BA15" s="8"/>
      <c r="BB15" s="8">
        <v>550.53</v>
      </c>
      <c r="BC15" s="8">
        <v>1698.07</v>
      </c>
      <c r="BE15" s="8">
        <v>1773.74</v>
      </c>
      <c r="BL15" s="8">
        <f t="shared" si="1"/>
        <v>72325.500000000015</v>
      </c>
      <c r="BM15" s="8">
        <f t="shared" si="2"/>
        <v>4650.3500000000004</v>
      </c>
      <c r="BN15" s="8">
        <f t="shared" si="3"/>
        <v>20405.89</v>
      </c>
    </row>
    <row r="16" spans="1:66" x14ac:dyDescent="0.25">
      <c r="A16" s="3" t="s">
        <v>136</v>
      </c>
      <c r="B16" s="3" t="s">
        <v>137</v>
      </c>
      <c r="C16" s="3" t="s">
        <v>138</v>
      </c>
      <c r="D16" s="3" t="s">
        <v>79</v>
      </c>
      <c r="I16" s="3" t="s">
        <v>80</v>
      </c>
      <c r="J16" s="3" t="s">
        <v>81</v>
      </c>
      <c r="K16" s="3" t="s">
        <v>72</v>
      </c>
      <c r="L16" s="3" t="s">
        <v>73</v>
      </c>
      <c r="M16" s="3" t="s">
        <v>74</v>
      </c>
      <c r="N16" s="3" t="s">
        <v>72</v>
      </c>
      <c r="O16" s="5">
        <v>81800</v>
      </c>
      <c r="P16" s="3">
        <v>54</v>
      </c>
      <c r="Q16" s="3" t="s">
        <v>139</v>
      </c>
      <c r="R16" s="3" t="s">
        <v>115</v>
      </c>
      <c r="S16" s="9">
        <v>51.9375</v>
      </c>
      <c r="T16" s="9">
        <f t="shared" si="0"/>
        <v>1.03971119133574</v>
      </c>
      <c r="U16" s="8">
        <v>1580.86</v>
      </c>
      <c r="W16" s="8">
        <v>302.18</v>
      </c>
      <c r="Z16" s="8">
        <v>596.9</v>
      </c>
      <c r="AD16" s="8">
        <v>900</v>
      </c>
      <c r="AE16" s="8">
        <v>125</v>
      </c>
      <c r="AG16" s="8">
        <v>2207.3000000000002</v>
      </c>
      <c r="AI16" s="8">
        <v>19639.75</v>
      </c>
      <c r="AJ16" s="8">
        <v>665.94</v>
      </c>
      <c r="AK16" s="8">
        <v>306.5</v>
      </c>
      <c r="AQ16" s="8">
        <v>1922.49</v>
      </c>
      <c r="AS16" s="8">
        <v>5754.91</v>
      </c>
      <c r="AV16" s="8">
        <v>240</v>
      </c>
      <c r="AZ16" s="8">
        <v>138</v>
      </c>
      <c r="BA16" s="8"/>
      <c r="BC16" s="8">
        <v>93</v>
      </c>
      <c r="BE16" s="8">
        <v>846.36</v>
      </c>
      <c r="BH16" s="8">
        <v>1962</v>
      </c>
      <c r="BL16" s="8">
        <f t="shared" si="1"/>
        <v>37281.19</v>
      </c>
      <c r="BM16" s="8">
        <f t="shared" si="2"/>
        <v>5712.24</v>
      </c>
      <c r="BN16" s="8">
        <f t="shared" si="3"/>
        <v>11263.26</v>
      </c>
    </row>
    <row r="17" spans="1:66" x14ac:dyDescent="0.25">
      <c r="A17" s="3" t="s">
        <v>140</v>
      </c>
      <c r="B17" s="3" t="s">
        <v>141</v>
      </c>
      <c r="C17" s="3" t="s">
        <v>113</v>
      </c>
      <c r="D17" s="3" t="s">
        <v>93</v>
      </c>
      <c r="E17" t="s">
        <v>119</v>
      </c>
      <c r="F17" s="3" t="s">
        <v>119</v>
      </c>
      <c r="G17" s="3" t="s">
        <v>120</v>
      </c>
      <c r="H17" s="3" t="s">
        <v>96</v>
      </c>
      <c r="I17" s="3" t="s">
        <v>96</v>
      </c>
      <c r="O17" s="5">
        <v>68750</v>
      </c>
      <c r="P17" s="3">
        <v>194</v>
      </c>
      <c r="Q17" s="3" t="s">
        <v>142</v>
      </c>
      <c r="R17" s="3" t="s">
        <v>122</v>
      </c>
      <c r="S17" s="9">
        <v>66.8125</v>
      </c>
      <c r="T17" s="9">
        <f t="shared" si="0"/>
        <v>2.903648269410664</v>
      </c>
      <c r="W17" s="8">
        <v>270</v>
      </c>
      <c r="Z17" s="8">
        <v>995.47</v>
      </c>
      <c r="AE17" s="8">
        <v>1537.51</v>
      </c>
      <c r="AG17" s="8">
        <v>120</v>
      </c>
      <c r="AI17" s="8">
        <v>25425.360000000001</v>
      </c>
      <c r="AJ17" s="8">
        <v>828.72</v>
      </c>
      <c r="AQ17" s="8">
        <v>1080</v>
      </c>
      <c r="AU17" s="8">
        <v>12051.2</v>
      </c>
      <c r="AZ17" s="8">
        <v>2783.5</v>
      </c>
      <c r="BA17" s="8"/>
      <c r="BC17" s="8">
        <v>388</v>
      </c>
      <c r="BE17" s="8">
        <v>1341.94</v>
      </c>
      <c r="BL17" s="8">
        <f t="shared" si="1"/>
        <v>46821.700000000004</v>
      </c>
      <c r="BM17" s="8">
        <f t="shared" si="2"/>
        <v>2922.98</v>
      </c>
      <c r="BN17" s="8">
        <f t="shared" si="3"/>
        <v>17644.64</v>
      </c>
    </row>
    <row r="18" spans="1:66" x14ac:dyDescent="0.25">
      <c r="A18" s="3" t="s">
        <v>143</v>
      </c>
      <c r="B18" s="3" t="s">
        <v>144</v>
      </c>
      <c r="C18" s="3" t="s">
        <v>145</v>
      </c>
      <c r="D18" s="3" t="s">
        <v>93</v>
      </c>
      <c r="E18" t="s">
        <v>146</v>
      </c>
      <c r="F18" s="3" t="s">
        <v>146</v>
      </c>
      <c r="G18" s="3" t="s">
        <v>147</v>
      </c>
      <c r="H18" s="3" t="s">
        <v>96</v>
      </c>
      <c r="I18" s="3" t="s">
        <v>96</v>
      </c>
      <c r="M18" s="3" t="s">
        <v>148</v>
      </c>
      <c r="O18" s="5">
        <v>106700</v>
      </c>
      <c r="P18" s="3">
        <v>109</v>
      </c>
      <c r="Q18" s="3" t="s">
        <v>149</v>
      </c>
      <c r="R18" s="3" t="s">
        <v>150</v>
      </c>
      <c r="S18" s="9">
        <v>60.625</v>
      </c>
      <c r="T18" s="9">
        <f t="shared" si="0"/>
        <v>1.797938144329897</v>
      </c>
      <c r="U18" s="8">
        <v>602.75</v>
      </c>
      <c r="V18" s="8">
        <v>394.4</v>
      </c>
      <c r="X18" s="8">
        <v>4800</v>
      </c>
      <c r="Z18" s="8">
        <v>902.4</v>
      </c>
      <c r="AE18" s="8">
        <v>12165</v>
      </c>
      <c r="AI18" s="8">
        <v>21656.49</v>
      </c>
      <c r="AJ18" s="8">
        <v>3994.08</v>
      </c>
      <c r="AK18" s="8">
        <v>234.3</v>
      </c>
      <c r="AU18" s="8">
        <v>16106.2</v>
      </c>
      <c r="AZ18" s="8">
        <v>2872.9</v>
      </c>
      <c r="BA18" s="8"/>
      <c r="BC18" s="8">
        <v>1140.51</v>
      </c>
      <c r="BE18" s="8">
        <v>1859.66</v>
      </c>
      <c r="BF18" s="8">
        <v>2061</v>
      </c>
      <c r="BK18" s="8"/>
      <c r="BL18" s="8">
        <f t="shared" si="1"/>
        <v>68789.690000000017</v>
      </c>
      <c r="BM18" s="8">
        <f t="shared" si="2"/>
        <v>14064.55</v>
      </c>
      <c r="BN18" s="8">
        <f t="shared" si="3"/>
        <v>24274.57</v>
      </c>
    </row>
    <row r="19" spans="1:66" x14ac:dyDescent="0.25">
      <c r="A19" s="3" t="s">
        <v>151</v>
      </c>
      <c r="B19" s="3" t="s">
        <v>152</v>
      </c>
      <c r="C19" s="3" t="s">
        <v>153</v>
      </c>
      <c r="D19" s="3" t="s">
        <v>79</v>
      </c>
      <c r="I19" s="3" t="s">
        <v>154</v>
      </c>
      <c r="J19" s="3" t="s">
        <v>81</v>
      </c>
      <c r="K19" s="3" t="s">
        <v>72</v>
      </c>
      <c r="L19" s="3" t="s">
        <v>73</v>
      </c>
      <c r="M19" s="3" t="s">
        <v>74</v>
      </c>
      <c r="N19" s="3" t="s">
        <v>72</v>
      </c>
      <c r="O19" s="5">
        <v>59044.26</v>
      </c>
      <c r="P19" s="3">
        <v>43</v>
      </c>
      <c r="Q19" s="3" t="s">
        <v>155</v>
      </c>
      <c r="R19" s="3" t="s">
        <v>156</v>
      </c>
      <c r="S19" s="9">
        <v>26.6875</v>
      </c>
      <c r="T19" s="9">
        <f t="shared" si="0"/>
        <v>1.6112412177985949</v>
      </c>
      <c r="U19" s="8">
        <v>1344.26</v>
      </c>
      <c r="W19" s="8">
        <v>206.68</v>
      </c>
      <c r="Z19" s="8">
        <v>749.41</v>
      </c>
      <c r="AE19" s="8">
        <v>790</v>
      </c>
      <c r="AG19" s="8">
        <v>80</v>
      </c>
      <c r="AI19" s="8">
        <v>9849.2999999999993</v>
      </c>
      <c r="AJ19" s="8">
        <v>1052.3</v>
      </c>
      <c r="AK19" s="8">
        <v>1493</v>
      </c>
      <c r="AS19" s="8">
        <v>2506</v>
      </c>
      <c r="AV19" s="8">
        <v>1633</v>
      </c>
      <c r="AZ19" s="8">
        <v>363</v>
      </c>
      <c r="BA19" s="8">
        <v>2932.2</v>
      </c>
      <c r="BB19" s="8">
        <v>351.49</v>
      </c>
      <c r="BC19" s="8">
        <v>97</v>
      </c>
      <c r="BE19" s="8">
        <v>790.86</v>
      </c>
      <c r="BJ19" s="8">
        <v>5182.5</v>
      </c>
      <c r="BL19" s="8">
        <f t="shared" si="1"/>
        <v>29421</v>
      </c>
      <c r="BM19" s="8">
        <f t="shared" si="2"/>
        <v>3170.35</v>
      </c>
      <c r="BN19" s="8">
        <f t="shared" si="3"/>
        <v>12416.850000000002</v>
      </c>
    </row>
    <row r="20" spans="1:66" x14ac:dyDescent="0.25">
      <c r="A20" s="3" t="s">
        <v>157</v>
      </c>
      <c r="B20" s="3" t="s">
        <v>158</v>
      </c>
      <c r="C20" s="3" t="s">
        <v>159</v>
      </c>
      <c r="D20" s="3" t="s">
        <v>93</v>
      </c>
      <c r="E20" t="s">
        <v>160</v>
      </c>
      <c r="F20" s="3" t="s">
        <v>160</v>
      </c>
      <c r="G20" s="3" t="s">
        <v>161</v>
      </c>
      <c r="H20" s="3" t="s">
        <v>162</v>
      </c>
      <c r="O20" s="5">
        <v>244200</v>
      </c>
      <c r="P20" s="3">
        <v>338</v>
      </c>
      <c r="Q20" s="3" t="s">
        <v>163</v>
      </c>
      <c r="R20" s="3" t="s">
        <v>164</v>
      </c>
      <c r="S20" s="9">
        <v>201.125</v>
      </c>
      <c r="T20" s="9">
        <f t="shared" si="0"/>
        <v>1.680546923555003</v>
      </c>
      <c r="V20" s="8">
        <v>153.72</v>
      </c>
      <c r="W20" s="8">
        <v>450</v>
      </c>
      <c r="Z20" s="8">
        <v>2108.5</v>
      </c>
      <c r="AI20" s="8">
        <v>72941.289999999994</v>
      </c>
      <c r="AJ20" s="8">
        <v>3103.49</v>
      </c>
      <c r="AK20" s="8">
        <v>432.07</v>
      </c>
      <c r="AL20" s="8">
        <v>138</v>
      </c>
      <c r="AN20" s="8">
        <v>320</v>
      </c>
      <c r="AQ20" s="8">
        <v>1251.74</v>
      </c>
      <c r="AR20" s="8">
        <v>1161</v>
      </c>
      <c r="AS20" s="8">
        <v>1747.53</v>
      </c>
      <c r="AU20" s="8">
        <v>48846</v>
      </c>
      <c r="AV20" s="8">
        <v>270</v>
      </c>
      <c r="AZ20" s="8">
        <v>1777</v>
      </c>
      <c r="BA20" s="8"/>
      <c r="BB20" s="8">
        <v>571.82000000000005</v>
      </c>
      <c r="BC20" s="8">
        <v>2145</v>
      </c>
      <c r="BE20" s="8">
        <v>5375.23</v>
      </c>
      <c r="BL20" s="8">
        <f t="shared" si="1"/>
        <v>142792.39000000004</v>
      </c>
      <c r="BM20" s="8">
        <f t="shared" si="2"/>
        <v>2712.2200000000003</v>
      </c>
      <c r="BN20" s="8">
        <f t="shared" si="3"/>
        <v>64035.39</v>
      </c>
    </row>
    <row r="21" spans="1:66" x14ac:dyDescent="0.25">
      <c r="A21" s="3" t="s">
        <v>165</v>
      </c>
      <c r="B21" s="3" t="s">
        <v>166</v>
      </c>
      <c r="C21" s="3" t="s">
        <v>68</v>
      </c>
      <c r="D21" s="3" t="s">
        <v>79</v>
      </c>
      <c r="L21" s="3" t="s">
        <v>73</v>
      </c>
      <c r="M21" s="3" t="s">
        <v>74</v>
      </c>
      <c r="N21" s="3" t="s">
        <v>72</v>
      </c>
      <c r="O21" s="5">
        <v>409800</v>
      </c>
      <c r="P21" s="3">
        <v>654</v>
      </c>
      <c r="Q21" s="3" t="s">
        <v>167</v>
      </c>
      <c r="R21" s="3" t="s">
        <v>122</v>
      </c>
      <c r="S21" s="9">
        <v>120.3125</v>
      </c>
      <c r="T21" s="9">
        <f t="shared" si="0"/>
        <v>5.4358441558441557</v>
      </c>
      <c r="U21" s="8">
        <v>2314.0700000000002</v>
      </c>
      <c r="V21" s="8">
        <v>3243.55</v>
      </c>
      <c r="W21" s="8">
        <v>219.28</v>
      </c>
      <c r="Y21" s="8">
        <v>5000</v>
      </c>
      <c r="Z21" s="8">
        <v>1466.35</v>
      </c>
      <c r="AD21" s="8">
        <v>6000</v>
      </c>
      <c r="AE21" s="8">
        <v>3723.13</v>
      </c>
      <c r="AI21" s="8">
        <v>41605.11</v>
      </c>
      <c r="AJ21" s="8">
        <v>2903.18</v>
      </c>
      <c r="AK21" s="8">
        <v>10263.35</v>
      </c>
      <c r="AQ21" s="8">
        <v>2042.66</v>
      </c>
      <c r="AS21" s="8">
        <v>5327.16</v>
      </c>
      <c r="AZ21" s="8">
        <v>6289.7099999999991</v>
      </c>
      <c r="BA21" s="8">
        <v>43496.37</v>
      </c>
      <c r="BB21" s="8">
        <v>125.29</v>
      </c>
      <c r="BC21" s="8">
        <v>455.75</v>
      </c>
      <c r="BE21" s="8">
        <v>7106</v>
      </c>
      <c r="BH21" s="8">
        <v>11730</v>
      </c>
      <c r="BJ21" s="8">
        <v>64020.22</v>
      </c>
      <c r="BL21" s="8">
        <f t="shared" si="1"/>
        <v>217331.18000000002</v>
      </c>
      <c r="BM21" s="8">
        <f t="shared" si="2"/>
        <v>21966.38</v>
      </c>
      <c r="BN21" s="8">
        <f t="shared" si="3"/>
        <v>107360.14000000001</v>
      </c>
    </row>
    <row r="22" spans="1:66" x14ac:dyDescent="0.25">
      <c r="A22" s="3" t="s">
        <v>168</v>
      </c>
      <c r="B22" s="3" t="s">
        <v>169</v>
      </c>
      <c r="C22" s="3" t="s">
        <v>170</v>
      </c>
      <c r="D22" s="3" t="s">
        <v>79</v>
      </c>
      <c r="L22" s="3" t="s">
        <v>171</v>
      </c>
      <c r="M22" s="3" t="s">
        <v>172</v>
      </c>
      <c r="N22" s="3" t="s">
        <v>173</v>
      </c>
      <c r="O22" s="7">
        <v>509960</v>
      </c>
      <c r="P22" s="3">
        <v>318</v>
      </c>
      <c r="Q22" s="7" t="s">
        <v>174</v>
      </c>
      <c r="R22" s="7" t="s">
        <v>128</v>
      </c>
      <c r="S22" s="7">
        <v>175.9375</v>
      </c>
      <c r="T22" s="9">
        <f t="shared" si="0"/>
        <v>1.8074600355239787</v>
      </c>
      <c r="V22" s="7">
        <v>1173.3900000000001</v>
      </c>
      <c r="Z22" s="7">
        <v>1556.26</v>
      </c>
      <c r="AD22" s="7">
        <v>3180</v>
      </c>
      <c r="AE22" s="7">
        <v>250</v>
      </c>
      <c r="AI22" s="7">
        <v>62768.49</v>
      </c>
      <c r="AJ22" s="7">
        <v>6557.95</v>
      </c>
      <c r="AK22" s="7">
        <v>3086.79</v>
      </c>
      <c r="AS22" s="7">
        <v>3676.16</v>
      </c>
      <c r="AV22" s="7">
        <v>5000.1099999999997</v>
      </c>
      <c r="AZ22" s="7">
        <v>54100.49</v>
      </c>
      <c r="BB22" s="7">
        <v>343.91</v>
      </c>
      <c r="BC22" s="7">
        <v>4159.72</v>
      </c>
      <c r="BE22" s="7">
        <v>14364.74</v>
      </c>
      <c r="BF22" s="7">
        <v>934.08</v>
      </c>
      <c r="BH22" s="7">
        <v>58515.93</v>
      </c>
      <c r="BI22" s="7">
        <v>895.38</v>
      </c>
      <c r="BJ22" s="7">
        <v>19364.18</v>
      </c>
      <c r="BL22" s="8">
        <f t="shared" si="1"/>
        <v>239927.57999999996</v>
      </c>
      <c r="BM22" s="8">
        <f t="shared" si="2"/>
        <v>6159.65</v>
      </c>
      <c r="BN22" s="8">
        <f t="shared" si="3"/>
        <v>164441.49000000002</v>
      </c>
    </row>
    <row r="23" spans="1:66" x14ac:dyDescent="0.25">
      <c r="A23" s="3" t="s">
        <v>175</v>
      </c>
      <c r="B23" s="3" t="s">
        <v>176</v>
      </c>
      <c r="C23" s="3" t="s">
        <v>177</v>
      </c>
      <c r="D23" s="3" t="s">
        <v>69</v>
      </c>
      <c r="F23" s="3">
        <v>2</v>
      </c>
      <c r="I23" s="3" t="s">
        <v>70</v>
      </c>
      <c r="J23" s="3" t="s">
        <v>71</v>
      </c>
      <c r="K23" s="3" t="s">
        <v>72</v>
      </c>
      <c r="L23" s="3" t="s">
        <v>73</v>
      </c>
      <c r="M23" s="3" t="s">
        <v>74</v>
      </c>
      <c r="N23" s="3" t="s">
        <v>72</v>
      </c>
      <c r="O23" s="5">
        <v>80500</v>
      </c>
      <c r="P23" s="3">
        <v>20</v>
      </c>
      <c r="Q23" s="3" t="s">
        <v>167</v>
      </c>
      <c r="R23" s="3" t="s">
        <v>122</v>
      </c>
      <c r="S23" s="9">
        <v>39.625</v>
      </c>
      <c r="T23" s="9">
        <f t="shared" si="0"/>
        <v>0.50473186119873814</v>
      </c>
      <c r="U23" s="8">
        <v>520.19000000000005</v>
      </c>
      <c r="V23" s="8">
        <v>1698.4</v>
      </c>
      <c r="W23" s="8">
        <v>583.96</v>
      </c>
      <c r="Z23" s="8">
        <v>1577.93</v>
      </c>
      <c r="AE23" s="8">
        <v>1290</v>
      </c>
      <c r="AI23" s="8">
        <v>13572.95</v>
      </c>
      <c r="AJ23" s="8">
        <v>1924.25</v>
      </c>
      <c r="AK23" s="8">
        <v>2234.19</v>
      </c>
      <c r="AQ23" s="8">
        <v>3136.54</v>
      </c>
      <c r="AS23" s="8">
        <v>2629.35</v>
      </c>
      <c r="AZ23" s="8">
        <v>1723.96</v>
      </c>
      <c r="BA23" s="8"/>
      <c r="BC23" s="8">
        <v>283.94</v>
      </c>
      <c r="BE23" s="8">
        <v>980.68</v>
      </c>
      <c r="BF23" s="8">
        <v>1940.64</v>
      </c>
      <c r="BH23" s="8">
        <v>2770.52</v>
      </c>
      <c r="BJ23" s="8">
        <v>335.22</v>
      </c>
      <c r="BL23" s="8">
        <f t="shared" si="1"/>
        <v>37202.719999999994</v>
      </c>
      <c r="BM23" s="8">
        <f t="shared" si="2"/>
        <v>5670.4800000000005</v>
      </c>
      <c r="BN23" s="8">
        <f t="shared" si="3"/>
        <v>16035.04</v>
      </c>
    </row>
    <row r="24" spans="1:66" x14ac:dyDescent="0.25">
      <c r="A24" s="3" t="s">
        <v>178</v>
      </c>
      <c r="B24" s="3" t="s">
        <v>179</v>
      </c>
      <c r="C24" s="3" t="s">
        <v>180</v>
      </c>
      <c r="D24" s="3" t="s">
        <v>79</v>
      </c>
      <c r="L24" s="3" t="s">
        <v>171</v>
      </c>
      <c r="M24" s="3" t="s">
        <v>172</v>
      </c>
      <c r="N24" s="3" t="s">
        <v>72</v>
      </c>
      <c r="O24" s="5">
        <v>76500</v>
      </c>
      <c r="P24" s="3">
        <v>70</v>
      </c>
      <c r="Q24" s="3" t="s">
        <v>181</v>
      </c>
      <c r="R24" s="3" t="s">
        <v>122</v>
      </c>
      <c r="S24" s="9">
        <v>33.75</v>
      </c>
      <c r="T24" s="9">
        <f t="shared" si="0"/>
        <v>2.074074074074074</v>
      </c>
      <c r="U24" s="8">
        <v>764.27</v>
      </c>
      <c r="V24" s="8">
        <v>30</v>
      </c>
      <c r="W24" s="8">
        <v>274.14999999999998</v>
      </c>
      <c r="X24" s="8">
        <v>3000</v>
      </c>
      <c r="Z24" s="8">
        <v>956.84</v>
      </c>
      <c r="AD24" s="8">
        <v>750</v>
      </c>
      <c r="AE24" s="8">
        <v>120</v>
      </c>
      <c r="AI24" s="8">
        <v>11321.71</v>
      </c>
      <c r="AJ24" s="8">
        <v>2673.96</v>
      </c>
      <c r="AK24" s="8">
        <v>1412.14</v>
      </c>
      <c r="AQ24" s="8">
        <v>93.07</v>
      </c>
      <c r="AS24" s="8">
        <v>873</v>
      </c>
      <c r="AZ24" s="8">
        <v>3770.45</v>
      </c>
      <c r="BA24" s="8"/>
      <c r="BB24" s="8">
        <v>396.96</v>
      </c>
      <c r="BC24" s="8">
        <v>261</v>
      </c>
      <c r="BE24" s="8">
        <v>1594.28</v>
      </c>
      <c r="BH24" s="8"/>
      <c r="BI24" s="8">
        <v>12090</v>
      </c>
      <c r="BJ24" s="8">
        <v>2446</v>
      </c>
      <c r="BL24" s="8">
        <f t="shared" si="1"/>
        <v>42827.83</v>
      </c>
      <c r="BM24" s="8">
        <f t="shared" si="2"/>
        <v>2895.26</v>
      </c>
      <c r="BN24" s="8">
        <f t="shared" si="3"/>
        <v>22936.9</v>
      </c>
    </row>
    <row r="25" spans="1:66" x14ac:dyDescent="0.25">
      <c r="A25" s="3" t="s">
        <v>182</v>
      </c>
      <c r="B25" s="3" t="s">
        <v>183</v>
      </c>
      <c r="C25" s="3" t="s">
        <v>68</v>
      </c>
      <c r="D25" s="3" t="s">
        <v>79</v>
      </c>
      <c r="J25" s="11"/>
      <c r="K25" s="11"/>
      <c r="L25" s="11" t="s">
        <v>171</v>
      </c>
      <c r="M25" s="11" t="s">
        <v>172</v>
      </c>
      <c r="N25" s="11" t="s">
        <v>72</v>
      </c>
      <c r="O25" s="5">
        <v>419220</v>
      </c>
      <c r="P25" s="3">
        <v>730</v>
      </c>
      <c r="Q25" s="4">
        <v>45105</v>
      </c>
      <c r="R25" s="3" t="s">
        <v>122</v>
      </c>
      <c r="S25" s="9">
        <v>176.4375</v>
      </c>
      <c r="T25" s="9">
        <f t="shared" si="0"/>
        <v>4.1374424371236271</v>
      </c>
      <c r="U25" s="13">
        <v>3407.03</v>
      </c>
      <c r="V25" s="13">
        <v>219.58</v>
      </c>
      <c r="W25" s="8">
        <v>448.56</v>
      </c>
      <c r="Z25" s="8">
        <v>2177.56</v>
      </c>
      <c r="AD25" s="13">
        <v>7200</v>
      </c>
      <c r="AE25" s="8">
        <v>190</v>
      </c>
      <c r="AG25" s="13">
        <v>40</v>
      </c>
      <c r="AI25" s="8">
        <v>62702.27</v>
      </c>
      <c r="AJ25" s="8">
        <v>3881.58</v>
      </c>
      <c r="AK25" s="8">
        <v>12767.75</v>
      </c>
      <c r="AQ25" s="8">
        <v>411.42</v>
      </c>
      <c r="AS25" s="13">
        <v>11359</v>
      </c>
      <c r="AZ25" s="8">
        <v>7888.4699999999993</v>
      </c>
      <c r="BA25" s="8">
        <v>2741</v>
      </c>
      <c r="BB25" s="8">
        <v>511.57</v>
      </c>
      <c r="BC25" s="8">
        <v>3669.5</v>
      </c>
      <c r="BE25" s="8">
        <v>17107.37</v>
      </c>
      <c r="BH25" s="13">
        <v>5807.42</v>
      </c>
      <c r="BI25" s="13">
        <v>113610</v>
      </c>
      <c r="BJ25" s="13">
        <v>8022.44</v>
      </c>
      <c r="BL25" s="8">
        <f t="shared" si="1"/>
        <v>264162.52</v>
      </c>
      <c r="BM25" s="8">
        <f t="shared" si="2"/>
        <v>13682.73</v>
      </c>
      <c r="BN25" s="8">
        <f t="shared" si="3"/>
        <v>181154.94</v>
      </c>
    </row>
    <row r="26" spans="1:66" x14ac:dyDescent="0.25">
      <c r="A26" s="3" t="s">
        <v>184</v>
      </c>
      <c r="B26" s="3" t="s">
        <v>185</v>
      </c>
      <c r="C26" s="3" t="s">
        <v>186</v>
      </c>
      <c r="D26" s="3" t="s">
        <v>93</v>
      </c>
      <c r="E26" t="s">
        <v>119</v>
      </c>
      <c r="F26" s="3" t="s">
        <v>119</v>
      </c>
      <c r="G26" s="3" t="s">
        <v>120</v>
      </c>
      <c r="H26" s="3" t="s">
        <v>96</v>
      </c>
      <c r="I26" s="3" t="s">
        <v>96</v>
      </c>
      <c r="O26" s="5">
        <v>100000</v>
      </c>
      <c r="P26" s="3">
        <v>98</v>
      </c>
      <c r="Q26" s="4">
        <v>45142</v>
      </c>
      <c r="R26" s="3" t="s">
        <v>187</v>
      </c>
      <c r="S26" s="9">
        <v>51.5625</v>
      </c>
      <c r="T26" s="9">
        <f t="shared" si="0"/>
        <v>1.9006060606060606</v>
      </c>
      <c r="W26" s="8">
        <v>1270</v>
      </c>
      <c r="Z26" s="8">
        <v>636.33000000000004</v>
      </c>
      <c r="AE26" s="8">
        <v>1176.03</v>
      </c>
      <c r="AI26" s="8">
        <v>16807.580000000002</v>
      </c>
      <c r="AJ26" s="8">
        <v>1631.26</v>
      </c>
      <c r="AK26" s="8">
        <v>300</v>
      </c>
      <c r="AQ26" s="8">
        <v>90</v>
      </c>
      <c r="AS26" s="8">
        <v>240</v>
      </c>
      <c r="AU26" s="8">
        <v>6065</v>
      </c>
      <c r="AZ26" s="8">
        <v>3261</v>
      </c>
      <c r="BA26" s="8">
        <v>780</v>
      </c>
      <c r="BB26" s="8">
        <v>403.17</v>
      </c>
      <c r="BC26" s="8">
        <v>639.5</v>
      </c>
      <c r="BE26" s="8">
        <v>958.26</v>
      </c>
      <c r="BL26" s="8">
        <f t="shared" si="1"/>
        <v>34258.129999999997</v>
      </c>
      <c r="BM26" s="8">
        <f t="shared" si="2"/>
        <v>3082.3599999999997</v>
      </c>
      <c r="BN26" s="8">
        <f t="shared" si="3"/>
        <v>11956.93</v>
      </c>
    </row>
    <row r="27" spans="1:66" x14ac:dyDescent="0.25">
      <c r="A27" s="3" t="s">
        <v>188</v>
      </c>
      <c r="B27" s="3" t="s">
        <v>189</v>
      </c>
      <c r="C27" s="3" t="s">
        <v>190</v>
      </c>
      <c r="D27" s="3" t="s">
        <v>69</v>
      </c>
      <c r="F27" s="3">
        <v>3</v>
      </c>
      <c r="I27" s="3" t="s">
        <v>191</v>
      </c>
      <c r="J27" s="3" t="s">
        <v>71</v>
      </c>
      <c r="K27" s="3" t="s">
        <v>72</v>
      </c>
      <c r="L27" s="3" t="s">
        <v>192</v>
      </c>
      <c r="M27" s="3" t="s">
        <v>74</v>
      </c>
      <c r="N27" s="3" t="s">
        <v>72</v>
      </c>
      <c r="O27" s="5">
        <v>190580</v>
      </c>
      <c r="P27" s="3">
        <v>168</v>
      </c>
      <c r="Q27" s="3" t="s">
        <v>193</v>
      </c>
      <c r="R27" s="3" t="s">
        <v>194</v>
      </c>
      <c r="S27" s="9">
        <v>112.375</v>
      </c>
      <c r="T27" s="9">
        <f t="shared" si="0"/>
        <v>1.4949944382647387</v>
      </c>
      <c r="V27" s="8">
        <v>2506.19</v>
      </c>
      <c r="W27" s="8">
        <v>10</v>
      </c>
      <c r="Z27" s="8">
        <v>1492.38</v>
      </c>
      <c r="AD27" s="8">
        <v>1600</v>
      </c>
      <c r="AE27" s="8">
        <v>304.2</v>
      </c>
      <c r="AI27" s="8">
        <v>38647.699999999997</v>
      </c>
      <c r="AJ27" s="8">
        <v>6276.17</v>
      </c>
      <c r="AK27" s="8">
        <v>5871.13</v>
      </c>
      <c r="AQ27" s="8">
        <v>2668.19</v>
      </c>
      <c r="AS27" s="8">
        <v>3696.3</v>
      </c>
      <c r="AV27" s="8">
        <v>12155</v>
      </c>
      <c r="AZ27" s="8">
        <v>4401</v>
      </c>
      <c r="BA27" s="8"/>
      <c r="BB27" s="8">
        <v>101.75</v>
      </c>
      <c r="BC27" s="8">
        <v>619</v>
      </c>
      <c r="BE27" s="8">
        <v>6512.97</v>
      </c>
      <c r="BH27" s="8">
        <v>33003.4</v>
      </c>
      <c r="BJ27" s="8">
        <v>1785</v>
      </c>
      <c r="BL27" s="8">
        <f t="shared" si="1"/>
        <v>121650.38</v>
      </c>
      <c r="BM27" s="8">
        <f t="shared" si="2"/>
        <v>5912.7699999999995</v>
      </c>
      <c r="BN27" s="8">
        <f t="shared" si="3"/>
        <v>70813.739999999991</v>
      </c>
    </row>
    <row r="28" spans="1:66" x14ac:dyDescent="0.25">
      <c r="A28" s="3" t="s">
        <v>195</v>
      </c>
      <c r="B28" s="3" t="s">
        <v>196</v>
      </c>
      <c r="C28" s="3" t="s">
        <v>177</v>
      </c>
      <c r="D28" s="3" t="s">
        <v>69</v>
      </c>
      <c r="F28" s="3">
        <v>5</v>
      </c>
      <c r="I28" s="3" t="s">
        <v>70</v>
      </c>
      <c r="J28" s="3" t="s">
        <v>81</v>
      </c>
      <c r="K28" s="3" t="s">
        <v>72</v>
      </c>
      <c r="L28" s="3" t="s">
        <v>73</v>
      </c>
      <c r="M28" s="3" t="s">
        <v>74</v>
      </c>
      <c r="N28" s="3" t="s">
        <v>72</v>
      </c>
      <c r="O28" s="5">
        <v>1685525</v>
      </c>
      <c r="P28" s="3">
        <v>2033</v>
      </c>
      <c r="Q28" s="3" t="s">
        <v>197</v>
      </c>
      <c r="R28" s="3" t="s">
        <v>187</v>
      </c>
      <c r="S28" s="9">
        <v>727.3125</v>
      </c>
      <c r="T28" s="9">
        <f t="shared" si="0"/>
        <v>2.7952221362894218</v>
      </c>
      <c r="V28" s="8">
        <v>86544.73</v>
      </c>
      <c r="W28" s="8">
        <v>2104.5700000000002</v>
      </c>
      <c r="Z28" s="8">
        <v>10407.61</v>
      </c>
      <c r="AD28" s="8">
        <v>19550</v>
      </c>
      <c r="AE28" s="8">
        <v>1351.200000000001</v>
      </c>
      <c r="AG28" s="8">
        <v>80</v>
      </c>
      <c r="AI28" s="8">
        <v>238401.5</v>
      </c>
      <c r="AJ28" s="8">
        <v>23950.61</v>
      </c>
      <c r="AK28" s="8">
        <v>10640.59</v>
      </c>
      <c r="AL28" s="8">
        <v>46</v>
      </c>
      <c r="AN28" s="8">
        <v>80</v>
      </c>
      <c r="AQ28" s="8">
        <v>10135.200000000001</v>
      </c>
      <c r="AS28" s="8">
        <v>21577.63</v>
      </c>
      <c r="AV28" s="8">
        <v>288.5</v>
      </c>
      <c r="AZ28" s="8">
        <v>29928.33</v>
      </c>
      <c r="BA28" s="8">
        <v>2781.25</v>
      </c>
      <c r="BB28" s="8">
        <v>645.80999999999995</v>
      </c>
      <c r="BC28" s="8">
        <v>7986.75</v>
      </c>
      <c r="BD28" s="8">
        <v>7000</v>
      </c>
      <c r="BE28" s="8">
        <v>36413.47</v>
      </c>
      <c r="BF28" s="8">
        <v>135703.5</v>
      </c>
      <c r="BH28" s="8">
        <v>173213.9</v>
      </c>
      <c r="BL28" s="8">
        <f t="shared" si="1"/>
        <v>818831.15</v>
      </c>
      <c r="BM28" s="8">
        <f t="shared" si="2"/>
        <v>120038.11</v>
      </c>
      <c r="BN28" s="8">
        <f t="shared" si="3"/>
        <v>426659.68000000005</v>
      </c>
    </row>
    <row r="29" spans="1:66" x14ac:dyDescent="0.25">
      <c r="A29" s="3" t="s">
        <v>198</v>
      </c>
      <c r="B29" s="3" t="s">
        <v>199</v>
      </c>
      <c r="C29" s="3" t="s">
        <v>68</v>
      </c>
      <c r="D29" s="3" t="s">
        <v>79</v>
      </c>
      <c r="L29" s="3" t="s">
        <v>171</v>
      </c>
      <c r="M29" s="3" t="s">
        <v>172</v>
      </c>
      <c r="N29" s="3" t="s">
        <v>72</v>
      </c>
      <c r="O29" s="5">
        <v>115000</v>
      </c>
      <c r="P29" s="3">
        <v>140</v>
      </c>
      <c r="Q29" s="3" t="s">
        <v>200</v>
      </c>
      <c r="R29" s="3" t="s">
        <v>115</v>
      </c>
      <c r="S29" s="9">
        <v>59.4375</v>
      </c>
      <c r="T29" s="9">
        <f t="shared" si="0"/>
        <v>2.3554153522607781</v>
      </c>
      <c r="U29" s="8">
        <v>1466.18</v>
      </c>
      <c r="W29" s="8">
        <v>749</v>
      </c>
      <c r="Z29" s="8">
        <v>326.77</v>
      </c>
      <c r="AD29" s="8">
        <v>1200</v>
      </c>
      <c r="AE29" s="8">
        <v>540.28</v>
      </c>
      <c r="AI29" s="8">
        <v>21116.54</v>
      </c>
      <c r="AJ29" s="8">
        <v>1719.97</v>
      </c>
      <c r="AK29" s="8">
        <v>1822.36</v>
      </c>
      <c r="AQ29" s="8">
        <v>275.72000000000003</v>
      </c>
      <c r="AS29" s="8">
        <v>1113.5</v>
      </c>
      <c r="AV29" s="8">
        <v>125</v>
      </c>
      <c r="AZ29" s="8">
        <v>5689.5899999999992</v>
      </c>
      <c r="BA29" s="8">
        <v>4644.54</v>
      </c>
      <c r="BB29" s="8">
        <v>147.35</v>
      </c>
      <c r="BC29" s="8">
        <v>801.4</v>
      </c>
      <c r="BE29" s="8">
        <v>4180.13</v>
      </c>
      <c r="BH29" s="8">
        <v>2550</v>
      </c>
      <c r="BI29" s="8">
        <v>17220</v>
      </c>
      <c r="BJ29" s="8">
        <v>1798.26</v>
      </c>
      <c r="BL29" s="8">
        <f t="shared" si="1"/>
        <v>67486.59</v>
      </c>
      <c r="BM29" s="8">
        <f t="shared" si="2"/>
        <v>4282.2300000000005</v>
      </c>
      <c r="BN29" s="8">
        <f t="shared" si="3"/>
        <v>35723.31</v>
      </c>
    </row>
    <row r="30" spans="1:66" x14ac:dyDescent="0.25">
      <c r="A30" s="3" t="s">
        <v>201</v>
      </c>
      <c r="B30" s="3" t="s">
        <v>202</v>
      </c>
      <c r="C30" s="3" t="s">
        <v>203</v>
      </c>
      <c r="D30" s="3" t="s">
        <v>79</v>
      </c>
      <c r="G30" s="3" t="s">
        <v>204</v>
      </c>
      <c r="H30" s="3" t="s">
        <v>205</v>
      </c>
      <c r="I30" s="3" t="s">
        <v>80</v>
      </c>
      <c r="J30" s="3" t="s">
        <v>81</v>
      </c>
      <c r="K30" s="3" t="s">
        <v>72</v>
      </c>
      <c r="L30" s="3" t="s">
        <v>73</v>
      </c>
      <c r="M30" s="3" t="s">
        <v>74</v>
      </c>
      <c r="N30" s="3" t="s">
        <v>72</v>
      </c>
      <c r="O30" s="7">
        <v>1017180</v>
      </c>
      <c r="P30" s="3">
        <v>930</v>
      </c>
      <c r="Q30" s="7" t="s">
        <v>206</v>
      </c>
      <c r="R30" s="7" t="s">
        <v>128</v>
      </c>
      <c r="S30" s="7">
        <v>405.5</v>
      </c>
      <c r="T30" s="9">
        <f t="shared" si="0"/>
        <v>2.2934648581997532</v>
      </c>
      <c r="U30" s="7">
        <v>8760.0499999999993</v>
      </c>
      <c r="V30" s="7">
        <v>8823.31</v>
      </c>
      <c r="W30" s="7">
        <v>896.84000000000015</v>
      </c>
      <c r="Z30" s="7">
        <v>8043.94</v>
      </c>
      <c r="AB30" s="7">
        <v>180</v>
      </c>
      <c r="AD30" s="7">
        <v>9300</v>
      </c>
      <c r="AE30" s="7">
        <v>11284.28</v>
      </c>
      <c r="AH30" s="27">
        <v>9020</v>
      </c>
      <c r="AI30" s="7">
        <v>154304.82999999999</v>
      </c>
      <c r="AJ30" s="7">
        <v>24374.55</v>
      </c>
      <c r="AK30" s="7">
        <v>32937.71</v>
      </c>
      <c r="AO30" s="7">
        <v>238.5</v>
      </c>
      <c r="AP30" s="7">
        <v>28</v>
      </c>
      <c r="AQ30" s="7">
        <v>3055.68</v>
      </c>
      <c r="AS30" s="7">
        <v>32337.7</v>
      </c>
      <c r="AU30" s="7">
        <v>221.5</v>
      </c>
      <c r="AV30" s="7">
        <v>161581.68</v>
      </c>
      <c r="AZ30" s="7">
        <v>20629.759999999998</v>
      </c>
      <c r="BA30" s="7">
        <v>7499.84</v>
      </c>
      <c r="BB30" s="7">
        <v>1580.46</v>
      </c>
      <c r="BC30" s="7">
        <v>6838.4</v>
      </c>
      <c r="BD30" s="7">
        <v>2020</v>
      </c>
      <c r="BE30" s="7">
        <v>36823.040000000001</v>
      </c>
      <c r="BF30" s="7">
        <v>112</v>
      </c>
      <c r="BH30" s="7">
        <v>53612.25</v>
      </c>
      <c r="BJ30" s="7">
        <v>67417.95</v>
      </c>
      <c r="BL30" s="8">
        <f t="shared" si="1"/>
        <v>661922.27</v>
      </c>
      <c r="BM30" s="8">
        <f t="shared" si="2"/>
        <v>47288.42</v>
      </c>
      <c r="BN30" s="8">
        <f t="shared" si="3"/>
        <v>417414.62999999995</v>
      </c>
    </row>
    <row r="31" spans="1:66" x14ac:dyDescent="0.25">
      <c r="A31" s="3" t="s">
        <v>207</v>
      </c>
      <c r="B31" s="3" t="s">
        <v>208</v>
      </c>
      <c r="C31" s="3" t="s">
        <v>177</v>
      </c>
      <c r="D31" s="3" t="s">
        <v>93</v>
      </c>
      <c r="E31" t="s">
        <v>209</v>
      </c>
      <c r="F31" s="3" t="s">
        <v>209</v>
      </c>
      <c r="G31" s="3" t="s">
        <v>210</v>
      </c>
      <c r="H31" s="3" t="s">
        <v>211</v>
      </c>
      <c r="I31" s="3" t="s">
        <v>212</v>
      </c>
      <c r="J31" s="3" t="s">
        <v>147</v>
      </c>
      <c r="K31" s="3" t="s">
        <v>96</v>
      </c>
      <c r="L31" s="3" t="s">
        <v>96</v>
      </c>
      <c r="O31" s="5">
        <v>319900</v>
      </c>
      <c r="P31" s="3">
        <v>275</v>
      </c>
      <c r="Q31" s="3" t="s">
        <v>213</v>
      </c>
      <c r="R31" s="3" t="s">
        <v>115</v>
      </c>
      <c r="S31" s="9">
        <v>179.8125</v>
      </c>
      <c r="T31" s="9">
        <f t="shared" si="0"/>
        <v>1.5293708724365658</v>
      </c>
      <c r="V31" s="8">
        <v>2639.59</v>
      </c>
      <c r="W31" s="8"/>
      <c r="Z31" s="8">
        <v>1094.6099999999999</v>
      </c>
      <c r="AE31" s="8">
        <v>64178</v>
      </c>
      <c r="AG31" s="8">
        <v>100</v>
      </c>
      <c r="AH31" s="27">
        <v>9640</v>
      </c>
      <c r="AI31" s="8">
        <v>55049.440000000002</v>
      </c>
      <c r="AJ31" s="8">
        <v>13404.18</v>
      </c>
      <c r="AK31" s="8">
        <v>53</v>
      </c>
      <c r="AL31" s="8">
        <v>184</v>
      </c>
      <c r="AN31" s="8">
        <v>240</v>
      </c>
      <c r="AR31" s="8">
        <v>1002</v>
      </c>
      <c r="AS31" s="8">
        <v>3546.25</v>
      </c>
      <c r="AU31" s="8">
        <v>35232</v>
      </c>
      <c r="AV31" s="8">
        <v>400</v>
      </c>
      <c r="AX31" s="8">
        <v>24601.5</v>
      </c>
      <c r="AZ31" s="8">
        <v>28722.12</v>
      </c>
      <c r="BA31" s="8">
        <v>8831.25</v>
      </c>
      <c r="BB31" s="8">
        <v>384.39</v>
      </c>
      <c r="BC31" s="8">
        <v>1773</v>
      </c>
      <c r="BE31" s="8">
        <v>9986.43</v>
      </c>
      <c r="BK31" s="8"/>
      <c r="BL31" s="8">
        <f t="shared" si="1"/>
        <v>261061.76000000001</v>
      </c>
      <c r="BM31" s="8">
        <f t="shared" si="2"/>
        <v>68012.2</v>
      </c>
      <c r="BN31" s="8">
        <f t="shared" si="3"/>
        <v>106124.69</v>
      </c>
    </row>
    <row r="32" spans="1:66" x14ac:dyDescent="0.25">
      <c r="A32" s="3" t="s">
        <v>214</v>
      </c>
      <c r="B32" s="3" t="s">
        <v>215</v>
      </c>
      <c r="C32" s="3" t="s">
        <v>216</v>
      </c>
      <c r="D32" s="3" t="s">
        <v>93</v>
      </c>
      <c r="E32" t="s">
        <v>146</v>
      </c>
      <c r="F32" s="3" t="s">
        <v>146</v>
      </c>
      <c r="G32" s="3" t="s">
        <v>147</v>
      </c>
      <c r="H32" s="3" t="s">
        <v>96</v>
      </c>
      <c r="I32" s="3" t="s">
        <v>96</v>
      </c>
      <c r="M32" s="3" t="s">
        <v>148</v>
      </c>
      <c r="O32" s="5">
        <v>167647</v>
      </c>
      <c r="P32" s="3">
        <v>289</v>
      </c>
      <c r="Q32" s="3" t="s">
        <v>217</v>
      </c>
      <c r="R32" s="3" t="s">
        <v>115</v>
      </c>
      <c r="S32" s="9">
        <v>126.9375</v>
      </c>
      <c r="T32" s="9">
        <f t="shared" si="0"/>
        <v>2.2767109798129002</v>
      </c>
      <c r="U32" s="8">
        <v>202.95</v>
      </c>
      <c r="V32" s="8">
        <v>327.29000000000002</v>
      </c>
      <c r="W32" s="8">
        <v>358.72</v>
      </c>
      <c r="X32" s="8">
        <v>19320</v>
      </c>
      <c r="Y32" s="8">
        <v>3428.67</v>
      </c>
      <c r="Z32" s="8">
        <v>1987.62</v>
      </c>
      <c r="AE32" s="8">
        <v>128.76</v>
      </c>
      <c r="AI32" s="8">
        <v>45519.27</v>
      </c>
      <c r="AJ32" s="8">
        <v>2621.88</v>
      </c>
      <c r="AK32" s="8">
        <v>900.98</v>
      </c>
      <c r="AN32" s="8">
        <v>979.6</v>
      </c>
      <c r="AS32" s="8">
        <v>182.5</v>
      </c>
      <c r="AU32" s="8">
        <v>34650</v>
      </c>
      <c r="AZ32" s="8">
        <v>6973.38</v>
      </c>
      <c r="BA32" s="8"/>
      <c r="BB32" s="8">
        <v>958.4</v>
      </c>
      <c r="BC32" s="8">
        <v>217.75</v>
      </c>
      <c r="BE32" s="8">
        <v>4427.6499999999996</v>
      </c>
      <c r="BF32" s="8">
        <v>674.44</v>
      </c>
      <c r="BL32" s="8">
        <f t="shared" si="1"/>
        <v>123859.86</v>
      </c>
      <c r="BM32" s="8">
        <f t="shared" si="2"/>
        <v>6434.0099999999948</v>
      </c>
      <c r="BN32" s="8">
        <f t="shared" si="3"/>
        <v>49964.700000000004</v>
      </c>
    </row>
    <row r="33" spans="1:66" x14ac:dyDescent="0.25">
      <c r="A33" s="3" t="s">
        <v>218</v>
      </c>
      <c r="B33" s="3" t="s">
        <v>219</v>
      </c>
      <c r="C33" s="3" t="s">
        <v>101</v>
      </c>
      <c r="D33" s="3" t="s">
        <v>79</v>
      </c>
      <c r="L33" s="3" t="s">
        <v>171</v>
      </c>
      <c r="M33" s="3" t="s">
        <v>172</v>
      </c>
      <c r="N33" s="3" t="s">
        <v>72</v>
      </c>
      <c r="O33" s="5">
        <v>16900</v>
      </c>
      <c r="P33" s="3">
        <v>12</v>
      </c>
      <c r="Q33" s="3" t="s">
        <v>220</v>
      </c>
      <c r="R33" s="3" t="s">
        <v>115</v>
      </c>
      <c r="S33" s="9">
        <v>11.75</v>
      </c>
      <c r="T33" s="9">
        <f t="shared" si="0"/>
        <v>1.0212765957446808</v>
      </c>
      <c r="U33" s="8">
        <v>327.8</v>
      </c>
      <c r="W33" s="8">
        <v>10</v>
      </c>
      <c r="Z33" s="8">
        <v>490.79</v>
      </c>
      <c r="AE33" s="8">
        <v>304.2</v>
      </c>
      <c r="AI33" s="8">
        <v>4440.66</v>
      </c>
      <c r="AJ33" s="8">
        <v>684.96</v>
      </c>
      <c r="AK33" s="8">
        <v>1347.66</v>
      </c>
      <c r="AS33" s="8">
        <v>175</v>
      </c>
      <c r="AV33" s="8">
        <v>431.58</v>
      </c>
      <c r="AZ33" s="8">
        <v>1164.8599999999999</v>
      </c>
      <c r="BA33" s="8"/>
      <c r="BC33" s="8">
        <v>136</v>
      </c>
      <c r="BE33" s="8">
        <v>532.70000000000005</v>
      </c>
      <c r="BH33" s="8">
        <v>1485.26</v>
      </c>
      <c r="BJ33" s="8">
        <v>705.75</v>
      </c>
      <c r="BL33" s="8">
        <f t="shared" si="1"/>
        <v>12237.220000000001</v>
      </c>
      <c r="BM33" s="8">
        <f t="shared" si="2"/>
        <v>1132.79</v>
      </c>
      <c r="BN33" s="8">
        <f t="shared" si="3"/>
        <v>5978.81</v>
      </c>
    </row>
    <row r="34" spans="1:66" x14ac:dyDescent="0.25">
      <c r="A34" s="3" t="s">
        <v>221</v>
      </c>
      <c r="B34" s="3" t="s">
        <v>222</v>
      </c>
      <c r="C34" s="3" t="s">
        <v>223</v>
      </c>
      <c r="D34" s="3" t="s">
        <v>93</v>
      </c>
      <c r="E34" t="s">
        <v>119</v>
      </c>
      <c r="F34" s="3" t="s">
        <v>119</v>
      </c>
      <c r="G34" s="3" t="s">
        <v>120</v>
      </c>
      <c r="H34" s="3" t="s">
        <v>96</v>
      </c>
      <c r="I34" s="3" t="s">
        <v>96</v>
      </c>
      <c r="O34" s="5">
        <v>75900</v>
      </c>
      <c r="P34" s="3">
        <v>66</v>
      </c>
      <c r="Q34" s="3" t="s">
        <v>224</v>
      </c>
      <c r="R34" s="3" t="s">
        <v>225</v>
      </c>
      <c r="S34" s="9">
        <v>117</v>
      </c>
      <c r="T34" s="9">
        <f t="shared" ref="T34:T65" si="4">P34/S34</f>
        <v>0.5641025641025641</v>
      </c>
      <c r="W34" s="8">
        <v>3836</v>
      </c>
      <c r="Z34" s="8">
        <v>1598.72</v>
      </c>
      <c r="AE34" s="8">
        <v>1740.89</v>
      </c>
      <c r="AI34" s="8">
        <v>42982.2</v>
      </c>
      <c r="AJ34" s="8">
        <v>2232.4899999999998</v>
      </c>
      <c r="AU34" s="8">
        <v>8259.0499999999993</v>
      </c>
      <c r="AZ34" s="8">
        <v>312.79000000000002</v>
      </c>
      <c r="BA34" s="8"/>
      <c r="BB34" s="8">
        <v>1479.46</v>
      </c>
      <c r="BC34" s="8">
        <v>235.5</v>
      </c>
      <c r="BE34" s="8">
        <v>1211.47</v>
      </c>
      <c r="BG34" s="8">
        <v>146.25</v>
      </c>
      <c r="BL34" s="8">
        <f t="shared" ref="BL34:BL65" si="5">SUM(U34:BK34)</f>
        <v>64034.819999999992</v>
      </c>
      <c r="BM34" s="8">
        <f t="shared" ref="BM34:BM65" si="6">SUM(U34:AG34)-X34</f>
        <v>7175.6100000000006</v>
      </c>
      <c r="BN34" s="8">
        <f t="shared" ref="BN34:BN65" si="7">SUM(AK34:BJ34)-BA34-BD34</f>
        <v>11644.519999999999</v>
      </c>
    </row>
    <row r="35" spans="1:66" x14ac:dyDescent="0.25">
      <c r="A35" s="3" t="s">
        <v>226</v>
      </c>
      <c r="B35" s="3" t="s">
        <v>227</v>
      </c>
      <c r="C35" s="3" t="s">
        <v>68</v>
      </c>
      <c r="D35" s="3" t="s">
        <v>79</v>
      </c>
      <c r="L35" s="3" t="s">
        <v>228</v>
      </c>
      <c r="M35" s="3" t="s">
        <v>172</v>
      </c>
      <c r="N35" s="3" t="s">
        <v>173</v>
      </c>
      <c r="O35" s="5">
        <v>622700</v>
      </c>
      <c r="P35" s="3">
        <v>418</v>
      </c>
      <c r="Q35" s="3" t="s">
        <v>229</v>
      </c>
      <c r="R35" s="3" t="s">
        <v>230</v>
      </c>
      <c r="S35" s="9">
        <v>268.875</v>
      </c>
      <c r="T35" s="9">
        <f t="shared" si="4"/>
        <v>1.5546257554625755</v>
      </c>
      <c r="U35" s="8">
        <v>4212.0600000000004</v>
      </c>
      <c r="V35" s="8">
        <v>1418</v>
      </c>
      <c r="W35" s="8">
        <v>1190</v>
      </c>
      <c r="Z35" s="8">
        <v>3782.87</v>
      </c>
      <c r="AD35" s="8">
        <v>3650</v>
      </c>
      <c r="AE35" s="8">
        <v>675</v>
      </c>
      <c r="AH35" s="8">
        <v>10145</v>
      </c>
      <c r="AI35" s="8">
        <v>99641.32</v>
      </c>
      <c r="AJ35" s="8">
        <v>6914.59</v>
      </c>
      <c r="AK35" s="8">
        <v>1193.1199999999999</v>
      </c>
      <c r="AQ35" s="8">
        <v>761.18</v>
      </c>
      <c r="AS35" s="8">
        <v>20511.89</v>
      </c>
      <c r="AU35" s="8">
        <v>2595</v>
      </c>
      <c r="AV35" s="8">
        <v>1013.6</v>
      </c>
      <c r="AZ35" s="8">
        <v>40417.449999999997</v>
      </c>
      <c r="BA35" s="8"/>
      <c r="BB35" s="8">
        <v>408.65</v>
      </c>
      <c r="BC35" s="8">
        <v>5639.49</v>
      </c>
      <c r="BE35" s="8">
        <v>19319.38</v>
      </c>
      <c r="BH35" s="8">
        <v>25394.400000000001</v>
      </c>
      <c r="BI35" s="8">
        <v>81391.789999999994</v>
      </c>
      <c r="BJ35" s="8">
        <v>15629.57</v>
      </c>
      <c r="BL35" s="8">
        <f t="shared" si="5"/>
        <v>345904.35999999993</v>
      </c>
      <c r="BM35" s="8">
        <f t="shared" si="6"/>
        <v>14927.93</v>
      </c>
      <c r="BN35" s="8">
        <f t="shared" si="7"/>
        <v>214275.52000000002</v>
      </c>
    </row>
    <row r="36" spans="1:66" x14ac:dyDescent="0.25">
      <c r="A36" s="3" t="s">
        <v>231</v>
      </c>
      <c r="B36" s="3" t="s">
        <v>232</v>
      </c>
      <c r="C36" s="3" t="s">
        <v>233</v>
      </c>
      <c r="D36" s="3" t="s">
        <v>69</v>
      </c>
      <c r="F36" s="3">
        <v>5</v>
      </c>
      <c r="I36" s="3" t="s">
        <v>70</v>
      </c>
      <c r="J36" s="3" t="s">
        <v>71</v>
      </c>
      <c r="K36" s="3" t="s">
        <v>72</v>
      </c>
      <c r="L36" s="3" t="s">
        <v>73</v>
      </c>
      <c r="M36" s="3" t="s">
        <v>74</v>
      </c>
      <c r="N36" s="3" t="s">
        <v>72</v>
      </c>
      <c r="O36" s="5">
        <v>68600</v>
      </c>
      <c r="P36" s="3">
        <v>29</v>
      </c>
      <c r="Q36" s="3" t="s">
        <v>234</v>
      </c>
      <c r="R36" s="3" t="s">
        <v>115</v>
      </c>
      <c r="S36" s="9">
        <v>71.8125</v>
      </c>
      <c r="T36" s="9">
        <f t="shared" si="4"/>
        <v>0.40382941688424717</v>
      </c>
      <c r="V36" s="8">
        <v>1442.52</v>
      </c>
      <c r="W36" s="8">
        <v>224.28</v>
      </c>
      <c r="Z36" s="8">
        <v>2914.97</v>
      </c>
      <c r="AE36" s="8">
        <v>90</v>
      </c>
      <c r="AG36" s="8">
        <v>60</v>
      </c>
      <c r="AI36" s="8">
        <v>24750.91</v>
      </c>
      <c r="AJ36" s="8">
        <v>3074</v>
      </c>
      <c r="AK36" s="8">
        <v>2429.62</v>
      </c>
      <c r="AQ36" s="8">
        <v>582.87</v>
      </c>
      <c r="AS36" s="8">
        <v>3059.5</v>
      </c>
      <c r="AZ36" s="8">
        <v>4333.76</v>
      </c>
      <c r="BA36" s="8"/>
      <c r="BC36" s="8">
        <v>590.62</v>
      </c>
      <c r="BE36" s="8">
        <v>652.20000000000005</v>
      </c>
      <c r="BF36" s="8">
        <v>2275</v>
      </c>
      <c r="BH36" s="8">
        <v>3335.8</v>
      </c>
      <c r="BJ36" s="8">
        <v>2127</v>
      </c>
      <c r="BL36" s="8">
        <f t="shared" si="5"/>
        <v>51943.05000000001</v>
      </c>
      <c r="BM36" s="8">
        <f t="shared" si="6"/>
        <v>4731.7699999999995</v>
      </c>
      <c r="BN36" s="8">
        <f t="shared" si="7"/>
        <v>19386.370000000003</v>
      </c>
    </row>
    <row r="37" spans="1:66" x14ac:dyDescent="0.25">
      <c r="A37" s="3" t="s">
        <v>235</v>
      </c>
      <c r="B37" s="3" t="s">
        <v>236</v>
      </c>
      <c r="C37" s="3" t="s">
        <v>237</v>
      </c>
      <c r="D37" s="3" t="s">
        <v>79</v>
      </c>
      <c r="I37" s="3" t="s">
        <v>80</v>
      </c>
      <c r="J37" s="3" t="s">
        <v>81</v>
      </c>
      <c r="K37" s="3" t="s">
        <v>72</v>
      </c>
      <c r="L37" s="3" t="s">
        <v>73</v>
      </c>
      <c r="M37" s="3" t="s">
        <v>74</v>
      </c>
      <c r="N37" s="3" t="s">
        <v>72</v>
      </c>
      <c r="O37" s="5">
        <v>127500</v>
      </c>
      <c r="P37" s="3">
        <v>123</v>
      </c>
      <c r="Q37" s="4">
        <v>45281</v>
      </c>
      <c r="R37" s="3" t="s">
        <v>115</v>
      </c>
      <c r="S37" s="9">
        <v>91.8125</v>
      </c>
      <c r="T37" s="9">
        <f t="shared" si="4"/>
        <v>1.3396868618107556</v>
      </c>
      <c r="U37" s="8">
        <v>438.68</v>
      </c>
      <c r="Z37" s="8">
        <v>2530.21</v>
      </c>
      <c r="AD37" s="8">
        <v>980</v>
      </c>
      <c r="AI37" s="8">
        <v>31340.25</v>
      </c>
      <c r="AJ37" s="8">
        <v>4555.5600000000004</v>
      </c>
      <c r="AK37" s="8">
        <v>3491.5</v>
      </c>
      <c r="AQ37" s="8">
        <v>45</v>
      </c>
      <c r="AS37" s="8">
        <v>2563.42</v>
      </c>
      <c r="AV37" s="8">
        <v>9382.5</v>
      </c>
      <c r="AZ37" s="8">
        <v>4739</v>
      </c>
      <c r="BA37" s="8"/>
      <c r="BB37" s="8">
        <v>129.22</v>
      </c>
      <c r="BC37" s="8">
        <v>849</v>
      </c>
      <c r="BE37" s="8">
        <v>824.23</v>
      </c>
      <c r="BH37" s="8">
        <v>14598.5</v>
      </c>
      <c r="BJ37" s="8">
        <v>812</v>
      </c>
      <c r="BL37" s="8">
        <f t="shared" si="5"/>
        <v>77279.070000000007</v>
      </c>
      <c r="BM37" s="8">
        <f t="shared" si="6"/>
        <v>3948.89</v>
      </c>
      <c r="BN37" s="8">
        <f t="shared" si="7"/>
        <v>37434.369999999995</v>
      </c>
    </row>
    <row r="38" spans="1:66" x14ac:dyDescent="0.25">
      <c r="A38" s="3" t="s">
        <v>238</v>
      </c>
      <c r="B38" s="3" t="s">
        <v>239</v>
      </c>
      <c r="C38" s="3" t="s">
        <v>240</v>
      </c>
      <c r="D38" s="3" t="s">
        <v>79</v>
      </c>
      <c r="I38" s="3" t="s">
        <v>80</v>
      </c>
      <c r="J38" s="3" t="s">
        <v>81</v>
      </c>
      <c r="K38" s="3" t="s">
        <v>72</v>
      </c>
      <c r="L38" s="3" t="s">
        <v>73</v>
      </c>
      <c r="M38" s="3" t="s">
        <v>74</v>
      </c>
      <c r="N38" s="3" t="s">
        <v>72</v>
      </c>
      <c r="O38" s="5">
        <v>188000</v>
      </c>
      <c r="P38" s="3">
        <v>280</v>
      </c>
      <c r="Q38" s="3" t="s">
        <v>241</v>
      </c>
      <c r="R38" s="3" t="s">
        <v>242</v>
      </c>
      <c r="S38" s="9">
        <v>137.5</v>
      </c>
      <c r="T38" s="9">
        <f t="shared" si="4"/>
        <v>2.0363636363636362</v>
      </c>
      <c r="W38" s="8">
        <v>740</v>
      </c>
      <c r="Z38" s="8">
        <v>4289.82</v>
      </c>
      <c r="AE38" s="8">
        <v>80</v>
      </c>
      <c r="AI38" s="8">
        <v>47220.51</v>
      </c>
      <c r="AJ38" s="8">
        <v>7865.26</v>
      </c>
      <c r="AK38" s="8">
        <v>7870.63</v>
      </c>
      <c r="AQ38" s="8">
        <v>1676.36</v>
      </c>
      <c r="AS38" s="8">
        <v>1153.98</v>
      </c>
      <c r="AV38" s="8">
        <v>16770</v>
      </c>
      <c r="AZ38" s="8">
        <v>9633</v>
      </c>
      <c r="BA38" s="8"/>
      <c r="BB38" s="8">
        <v>430.91</v>
      </c>
      <c r="BC38" s="8">
        <v>1920.05</v>
      </c>
      <c r="BE38" s="8">
        <v>4776.62</v>
      </c>
      <c r="BH38" s="8">
        <v>25689</v>
      </c>
      <c r="BJ38" s="8">
        <v>4145</v>
      </c>
      <c r="BL38" s="8">
        <f t="shared" si="5"/>
        <v>134261.14000000001</v>
      </c>
      <c r="BM38" s="8">
        <f t="shared" si="6"/>
        <v>5109.82</v>
      </c>
      <c r="BN38" s="8">
        <f t="shared" si="7"/>
        <v>74065.550000000017</v>
      </c>
    </row>
    <row r="39" spans="1:66" x14ac:dyDescent="0.25">
      <c r="A39" s="3" t="s">
        <v>243</v>
      </c>
      <c r="B39" s="3" t="s">
        <v>244</v>
      </c>
      <c r="C39" s="3" t="s">
        <v>153</v>
      </c>
      <c r="D39" s="3" t="s">
        <v>69</v>
      </c>
      <c r="F39" s="3">
        <v>2</v>
      </c>
      <c r="G39" s="3" t="s">
        <v>245</v>
      </c>
      <c r="H39" s="3" t="s">
        <v>205</v>
      </c>
      <c r="I39" s="3" t="s">
        <v>80</v>
      </c>
      <c r="J39" s="3" t="s">
        <v>81</v>
      </c>
      <c r="K39" s="3" t="s">
        <v>72</v>
      </c>
      <c r="L39" s="3" t="s">
        <v>192</v>
      </c>
      <c r="M39" s="3" t="s">
        <v>74</v>
      </c>
      <c r="N39" s="3" t="s">
        <v>72</v>
      </c>
      <c r="O39" s="7">
        <v>307564</v>
      </c>
      <c r="P39" s="3">
        <v>202</v>
      </c>
      <c r="Q39" s="7" t="s">
        <v>234</v>
      </c>
      <c r="R39" s="7" t="s">
        <v>128</v>
      </c>
      <c r="S39" s="7">
        <v>147.5</v>
      </c>
      <c r="T39" s="9">
        <f t="shared" si="4"/>
        <v>1.3694915254237288</v>
      </c>
      <c r="U39" s="7">
        <v>2300.0300000000002</v>
      </c>
      <c r="V39" s="7">
        <v>4525.74</v>
      </c>
      <c r="W39" s="7">
        <v>448.28</v>
      </c>
      <c r="Z39" s="7">
        <v>2976.36</v>
      </c>
      <c r="AD39" s="7">
        <v>2020</v>
      </c>
      <c r="AE39" s="7">
        <v>215.28</v>
      </c>
      <c r="AG39" s="7">
        <v>40</v>
      </c>
      <c r="AI39" s="7">
        <v>50903.01</v>
      </c>
      <c r="AJ39" s="7">
        <v>6168.36</v>
      </c>
      <c r="AK39" s="7">
        <v>7523.47</v>
      </c>
      <c r="AQ39" s="7">
        <v>622.79</v>
      </c>
      <c r="AS39" s="7">
        <v>4224.99</v>
      </c>
      <c r="AV39" s="7">
        <v>58243.81</v>
      </c>
      <c r="AZ39" s="7">
        <v>6869.5399999999991</v>
      </c>
      <c r="BA39" s="7">
        <v>8808.94</v>
      </c>
      <c r="BB39" s="7">
        <v>212.41</v>
      </c>
      <c r="BC39" s="7">
        <v>2054.3200000000002</v>
      </c>
      <c r="BE39" s="7">
        <v>12167.62</v>
      </c>
      <c r="BH39" s="7">
        <v>35424</v>
      </c>
      <c r="BJ39" s="7">
        <v>877.28</v>
      </c>
      <c r="BL39" s="8">
        <f t="shared" si="5"/>
        <v>206626.23</v>
      </c>
      <c r="BM39" s="8">
        <f t="shared" si="6"/>
        <v>12525.69</v>
      </c>
      <c r="BN39" s="8">
        <f t="shared" si="7"/>
        <v>128220.23000000001</v>
      </c>
    </row>
    <row r="40" spans="1:66" x14ac:dyDescent="0.25">
      <c r="A40" s="3" t="s">
        <v>246</v>
      </c>
      <c r="B40" s="3" t="s">
        <v>247</v>
      </c>
      <c r="C40" s="3" t="s">
        <v>153</v>
      </c>
      <c r="D40" s="3" t="s">
        <v>126</v>
      </c>
      <c r="O40" s="5">
        <v>490660</v>
      </c>
      <c r="P40" s="3">
        <v>279</v>
      </c>
      <c r="Q40" s="4">
        <v>45281</v>
      </c>
      <c r="R40" s="3" t="s">
        <v>115</v>
      </c>
      <c r="S40" s="9">
        <v>262.59375</v>
      </c>
      <c r="T40" s="9">
        <f t="shared" si="4"/>
        <v>1.0624776865405212</v>
      </c>
      <c r="U40" s="8">
        <v>2868.83</v>
      </c>
      <c r="V40" s="8">
        <v>7884.43</v>
      </c>
      <c r="W40" s="8">
        <v>1560</v>
      </c>
      <c r="Z40" s="8">
        <v>5693.88</v>
      </c>
      <c r="AD40" s="8">
        <v>2500</v>
      </c>
      <c r="AE40" s="8">
        <v>3050</v>
      </c>
      <c r="AI40" s="8">
        <v>89967.63</v>
      </c>
      <c r="AJ40" s="8">
        <v>21073.82</v>
      </c>
      <c r="AK40" s="8">
        <v>12850.23</v>
      </c>
      <c r="AQ40" s="8">
        <v>254.77</v>
      </c>
      <c r="AS40" s="8">
        <v>63878.33</v>
      </c>
      <c r="AV40" s="8">
        <v>19632.8</v>
      </c>
      <c r="AZ40" s="8">
        <v>16234</v>
      </c>
      <c r="BA40" s="8">
        <v>840.4</v>
      </c>
      <c r="BB40" s="8">
        <v>1379.36</v>
      </c>
      <c r="BC40" s="8">
        <v>2787</v>
      </c>
      <c r="BD40" s="8">
        <v>8034</v>
      </c>
      <c r="BE40" s="8">
        <v>10424.15</v>
      </c>
      <c r="BH40" s="8">
        <v>32704</v>
      </c>
      <c r="BJ40" s="8">
        <v>9852.4</v>
      </c>
      <c r="BL40" s="8">
        <f t="shared" si="5"/>
        <v>313470.02999999997</v>
      </c>
      <c r="BM40" s="8">
        <f t="shared" si="6"/>
        <v>23557.14</v>
      </c>
      <c r="BN40" s="8">
        <f t="shared" si="7"/>
        <v>169997.04</v>
      </c>
    </row>
    <row r="41" spans="1:66" x14ac:dyDescent="0.25">
      <c r="A41" s="3" t="s">
        <v>248</v>
      </c>
      <c r="B41" s="3" t="s">
        <v>249</v>
      </c>
      <c r="C41" s="3" t="s">
        <v>240</v>
      </c>
      <c r="D41" s="3" t="s">
        <v>126</v>
      </c>
      <c r="O41" s="5">
        <v>865000</v>
      </c>
      <c r="P41" s="3">
        <v>335</v>
      </c>
      <c r="Q41" s="3" t="s">
        <v>250</v>
      </c>
      <c r="R41" s="3" t="s">
        <v>115</v>
      </c>
      <c r="S41" s="9">
        <v>765</v>
      </c>
      <c r="T41" s="9">
        <f t="shared" si="4"/>
        <v>0.43790849673202614</v>
      </c>
      <c r="U41" s="8">
        <v>6913.51</v>
      </c>
      <c r="V41" s="8">
        <v>47492.45</v>
      </c>
      <c r="W41" s="8">
        <v>52912.68</v>
      </c>
      <c r="Z41" s="8">
        <v>21338.28</v>
      </c>
      <c r="AE41" s="8">
        <v>56726.17</v>
      </c>
      <c r="AG41" s="8">
        <v>2301.21</v>
      </c>
      <c r="AH41" s="27">
        <v>27395</v>
      </c>
      <c r="AI41" s="8">
        <v>272143.02</v>
      </c>
      <c r="AJ41" s="8">
        <v>32808.160000000003</v>
      </c>
      <c r="AK41" s="8">
        <v>2110.59</v>
      </c>
      <c r="AO41" s="8">
        <v>1933.2</v>
      </c>
      <c r="AP41" s="8">
        <v>29144</v>
      </c>
      <c r="AQ41" s="8">
        <v>7269.45</v>
      </c>
      <c r="AS41" s="8">
        <v>22152.38</v>
      </c>
      <c r="AT41" s="8"/>
      <c r="AW41" s="8">
        <v>39746.410000000003</v>
      </c>
      <c r="AY41" s="8">
        <v>263.10000000000002</v>
      </c>
      <c r="AZ41" s="8">
        <v>10085.469999999999</v>
      </c>
      <c r="BA41" s="8"/>
      <c r="BB41" s="8">
        <v>3848.66</v>
      </c>
      <c r="BC41" s="8">
        <v>8950.9599999999991</v>
      </c>
      <c r="BE41" s="8">
        <v>19741.88</v>
      </c>
      <c r="BH41" s="8">
        <v>6133.32</v>
      </c>
      <c r="BJ41" s="8">
        <v>8379.5</v>
      </c>
      <c r="BL41" s="8">
        <f t="shared" si="5"/>
        <v>679789.39999999991</v>
      </c>
      <c r="BM41" s="8">
        <f t="shared" si="6"/>
        <v>187684.3</v>
      </c>
      <c r="BN41" s="8">
        <f t="shared" si="7"/>
        <v>159758.92000000001</v>
      </c>
    </row>
    <row r="42" spans="1:66" x14ac:dyDescent="0.25">
      <c r="A42" s="3" t="s">
        <v>251</v>
      </c>
      <c r="B42" s="3" t="s">
        <v>252</v>
      </c>
      <c r="C42" s="3" t="s">
        <v>177</v>
      </c>
      <c r="D42" s="3" t="s">
        <v>79</v>
      </c>
      <c r="L42" s="3" t="s">
        <v>171</v>
      </c>
      <c r="M42" s="3" t="s">
        <v>172</v>
      </c>
      <c r="N42" s="3" t="s">
        <v>72</v>
      </c>
      <c r="O42" s="5">
        <v>380000</v>
      </c>
      <c r="P42" s="3">
        <v>600</v>
      </c>
      <c r="Q42" s="3" t="s">
        <v>253</v>
      </c>
      <c r="R42" s="3" t="s">
        <v>115</v>
      </c>
      <c r="S42" s="9">
        <v>229.25</v>
      </c>
      <c r="T42" s="9">
        <f t="shared" si="4"/>
        <v>2.6172300981461287</v>
      </c>
      <c r="U42" s="8">
        <v>585.73</v>
      </c>
      <c r="V42" s="8">
        <v>1453.83</v>
      </c>
      <c r="W42" s="8">
        <v>1480</v>
      </c>
      <c r="Z42" s="8">
        <v>4984.47</v>
      </c>
      <c r="AD42" s="8">
        <v>5920</v>
      </c>
      <c r="AE42" s="8">
        <v>580</v>
      </c>
      <c r="AI42" s="8">
        <v>81828.89</v>
      </c>
      <c r="AJ42" s="8">
        <v>21276.46</v>
      </c>
      <c r="AK42" s="8">
        <v>12440.5</v>
      </c>
      <c r="AN42" s="8">
        <v>184.77</v>
      </c>
      <c r="AQ42" s="8">
        <v>634.77</v>
      </c>
      <c r="AS42" s="8">
        <v>6968.5</v>
      </c>
      <c r="AU42" s="8">
        <v>120</v>
      </c>
      <c r="AZ42" s="8">
        <v>15266.96</v>
      </c>
      <c r="BA42" s="8"/>
      <c r="BB42" s="8">
        <v>82.22</v>
      </c>
      <c r="BC42" s="8">
        <v>3674.29</v>
      </c>
      <c r="BD42" s="8">
        <v>3030</v>
      </c>
      <c r="BE42" s="8">
        <v>9457.76</v>
      </c>
      <c r="BH42" s="8">
        <v>60408.55</v>
      </c>
      <c r="BI42" s="8">
        <v>39675</v>
      </c>
      <c r="BJ42" s="8">
        <v>10268.299999999999</v>
      </c>
      <c r="BL42" s="8">
        <f t="shared" si="5"/>
        <v>280321</v>
      </c>
      <c r="BM42" s="8">
        <f t="shared" si="6"/>
        <v>15004.03</v>
      </c>
      <c r="BN42" s="8">
        <f t="shared" si="7"/>
        <v>159181.62</v>
      </c>
    </row>
    <row r="43" spans="1:66" x14ac:dyDescent="0.25">
      <c r="A43" s="3" t="s">
        <v>254</v>
      </c>
      <c r="B43" s="3" t="s">
        <v>255</v>
      </c>
      <c r="C43" s="3" t="s">
        <v>256</v>
      </c>
      <c r="D43" s="3" t="s">
        <v>126</v>
      </c>
      <c r="I43" s="11"/>
      <c r="J43" s="11"/>
      <c r="K43" s="11"/>
      <c r="O43" s="5">
        <v>143500</v>
      </c>
      <c r="P43" s="3">
        <v>99</v>
      </c>
      <c r="Q43" s="3" t="s">
        <v>257</v>
      </c>
      <c r="R43" s="3" t="s">
        <v>115</v>
      </c>
      <c r="S43" s="9">
        <v>46.25</v>
      </c>
      <c r="T43" s="9">
        <f t="shared" si="4"/>
        <v>2.1405405405405404</v>
      </c>
      <c r="U43" s="8">
        <v>2064.36</v>
      </c>
      <c r="V43" s="8">
        <v>1715.01</v>
      </c>
      <c r="W43" s="8">
        <v>448.28</v>
      </c>
      <c r="Z43" s="8">
        <v>1298.01</v>
      </c>
      <c r="AE43" s="8">
        <v>90.28</v>
      </c>
      <c r="AI43" s="8">
        <v>15005.43</v>
      </c>
      <c r="AJ43" s="8">
        <v>3447.75</v>
      </c>
      <c r="AK43" s="8">
        <v>385.98</v>
      </c>
      <c r="AO43" s="13">
        <v>11768.89</v>
      </c>
      <c r="AP43" s="13">
        <v>1315</v>
      </c>
      <c r="AQ43" s="8">
        <v>135</v>
      </c>
      <c r="AS43" s="8">
        <v>1360.93</v>
      </c>
      <c r="AY43" s="13">
        <v>1235.2</v>
      </c>
      <c r="AZ43" s="8">
        <v>115.75</v>
      </c>
      <c r="BA43" s="13"/>
      <c r="BC43" s="8">
        <v>667.61</v>
      </c>
      <c r="BE43" s="8">
        <v>1468.34</v>
      </c>
      <c r="BL43" s="8">
        <f t="shared" si="5"/>
        <v>42521.819999999992</v>
      </c>
      <c r="BM43" s="8">
        <f t="shared" si="6"/>
        <v>5615.94</v>
      </c>
      <c r="BN43" s="8">
        <f t="shared" si="7"/>
        <v>18452.7</v>
      </c>
    </row>
    <row r="44" spans="1:66" x14ac:dyDescent="0.25">
      <c r="A44" s="3" t="s">
        <v>258</v>
      </c>
      <c r="B44" s="3" t="s">
        <v>259</v>
      </c>
      <c r="C44" s="3" t="s">
        <v>177</v>
      </c>
      <c r="D44" s="3" t="s">
        <v>93</v>
      </c>
      <c r="E44" t="s">
        <v>160</v>
      </c>
      <c r="F44" s="3" t="s">
        <v>160</v>
      </c>
      <c r="G44" s="3" t="s">
        <v>161</v>
      </c>
      <c r="H44" s="3" t="s">
        <v>162</v>
      </c>
      <c r="O44" s="5">
        <v>49000</v>
      </c>
      <c r="P44" s="3">
        <v>40</v>
      </c>
      <c r="Q44" s="3" t="s">
        <v>260</v>
      </c>
      <c r="R44" s="3" t="s">
        <v>115</v>
      </c>
      <c r="S44" s="9">
        <v>35.3125</v>
      </c>
      <c r="T44" s="9">
        <f t="shared" si="4"/>
        <v>1.1327433628318584</v>
      </c>
      <c r="Z44" s="8">
        <v>228.25</v>
      </c>
      <c r="AA44" s="8">
        <v>259</v>
      </c>
      <c r="AI44" s="8">
        <v>12600.82</v>
      </c>
      <c r="AJ44" s="8">
        <v>703.41</v>
      </c>
      <c r="AU44" s="8">
        <v>4557</v>
      </c>
      <c r="AZ44" s="8">
        <v>3064.28</v>
      </c>
      <c r="BA44" s="8"/>
      <c r="BC44" s="8">
        <v>282.5</v>
      </c>
      <c r="BE44" s="8">
        <v>693.87</v>
      </c>
      <c r="BL44" s="8">
        <f t="shared" si="5"/>
        <v>22389.129999999997</v>
      </c>
      <c r="BM44" s="8">
        <f t="shared" si="6"/>
        <v>487.25</v>
      </c>
      <c r="BN44" s="8">
        <f t="shared" si="7"/>
        <v>8597.6500000000015</v>
      </c>
    </row>
    <row r="45" spans="1:66" x14ac:dyDescent="0.25">
      <c r="A45" s="3" t="s">
        <v>261</v>
      </c>
      <c r="B45" s="3" t="s">
        <v>262</v>
      </c>
      <c r="C45" s="3" t="s">
        <v>263</v>
      </c>
      <c r="D45" s="3" t="s">
        <v>93</v>
      </c>
      <c r="E45" t="s">
        <v>160</v>
      </c>
      <c r="F45" s="3" t="s">
        <v>160</v>
      </c>
      <c r="G45" s="3" t="s">
        <v>161</v>
      </c>
      <c r="H45" s="3" t="s">
        <v>162</v>
      </c>
      <c r="O45" s="5">
        <v>106600</v>
      </c>
      <c r="P45" s="3">
        <v>50</v>
      </c>
      <c r="Q45" s="3" t="s">
        <v>264</v>
      </c>
      <c r="R45" s="3" t="s">
        <v>265</v>
      </c>
      <c r="S45" s="9">
        <v>71.75</v>
      </c>
      <c r="T45" s="9">
        <f t="shared" si="4"/>
        <v>0.69686411149825789</v>
      </c>
      <c r="W45" s="8">
        <v>1261.81</v>
      </c>
      <c r="Z45" s="8">
        <v>355.69</v>
      </c>
      <c r="AE45" s="8">
        <v>131.9</v>
      </c>
      <c r="AI45" s="8">
        <v>25812.45</v>
      </c>
      <c r="AJ45" s="8">
        <v>4097.12</v>
      </c>
      <c r="AZ45" s="8">
        <v>13630.16</v>
      </c>
      <c r="BA45" s="8">
        <v>5417.61</v>
      </c>
      <c r="BC45" s="8">
        <v>641</v>
      </c>
      <c r="BE45" s="8">
        <v>1792.05</v>
      </c>
      <c r="BL45" s="8">
        <f t="shared" si="5"/>
        <v>53139.790000000008</v>
      </c>
      <c r="BM45" s="8">
        <f t="shared" si="6"/>
        <v>1749.4</v>
      </c>
      <c r="BN45" s="8">
        <f t="shared" si="7"/>
        <v>16063.21</v>
      </c>
    </row>
    <row r="46" spans="1:66" x14ac:dyDescent="0.25">
      <c r="A46" s="3" t="s">
        <v>266</v>
      </c>
      <c r="B46" s="3" t="s">
        <v>267</v>
      </c>
      <c r="C46" s="3" t="s">
        <v>268</v>
      </c>
      <c r="D46" s="3" t="s">
        <v>79</v>
      </c>
      <c r="L46" s="3" t="s">
        <v>228</v>
      </c>
      <c r="M46" s="3" t="s">
        <v>172</v>
      </c>
      <c r="N46" s="3" t="s">
        <v>173</v>
      </c>
      <c r="O46" s="5">
        <v>369200</v>
      </c>
      <c r="P46" s="3">
        <v>250</v>
      </c>
      <c r="Q46" s="3" t="s">
        <v>269</v>
      </c>
      <c r="R46" s="3" t="s">
        <v>230</v>
      </c>
      <c r="S46" s="9">
        <v>150.5</v>
      </c>
      <c r="T46" s="9">
        <f t="shared" si="4"/>
        <v>1.6611295681063123</v>
      </c>
      <c r="U46" s="8">
        <v>3235.37</v>
      </c>
      <c r="V46" s="8">
        <v>464.19</v>
      </c>
      <c r="Z46" s="8">
        <v>1840.45</v>
      </c>
      <c r="AD46" s="8">
        <v>2500</v>
      </c>
      <c r="AE46" s="8">
        <v>849.57</v>
      </c>
      <c r="AI46" s="8">
        <v>45850.71</v>
      </c>
      <c r="AJ46" s="8">
        <v>15032.92</v>
      </c>
      <c r="AK46" s="8">
        <v>582.12</v>
      </c>
      <c r="AS46" s="8">
        <v>6043.1</v>
      </c>
      <c r="AV46" s="8">
        <v>274</v>
      </c>
      <c r="AZ46" s="8">
        <v>40265.879999999997</v>
      </c>
      <c r="BA46" s="8"/>
      <c r="BB46" s="8">
        <v>165.19</v>
      </c>
      <c r="BC46" s="8">
        <v>513.9699999999998</v>
      </c>
      <c r="BD46" s="8">
        <v>2020</v>
      </c>
      <c r="BE46" s="8">
        <v>12680.33</v>
      </c>
      <c r="BF46" s="8">
        <v>104</v>
      </c>
      <c r="BH46" s="8">
        <v>1500.38</v>
      </c>
      <c r="BI46" s="8">
        <v>54107.17</v>
      </c>
      <c r="BJ46" s="8">
        <v>20688.490000000002</v>
      </c>
      <c r="BL46" s="8">
        <f t="shared" si="5"/>
        <v>208717.83999999997</v>
      </c>
      <c r="BM46" s="8">
        <f t="shared" si="6"/>
        <v>8889.58</v>
      </c>
      <c r="BN46" s="8">
        <f t="shared" si="7"/>
        <v>136924.63</v>
      </c>
    </row>
    <row r="47" spans="1:66" x14ac:dyDescent="0.25">
      <c r="A47" s="3" t="s">
        <v>270</v>
      </c>
      <c r="B47" s="3" t="s">
        <v>271</v>
      </c>
      <c r="C47" s="3" t="s">
        <v>186</v>
      </c>
      <c r="D47" s="3" t="s">
        <v>126</v>
      </c>
      <c r="O47" s="5">
        <v>179200</v>
      </c>
      <c r="P47" s="3">
        <v>80</v>
      </c>
      <c r="Q47" s="3" t="s">
        <v>272</v>
      </c>
      <c r="R47" s="3" t="s">
        <v>98</v>
      </c>
      <c r="S47" s="9">
        <v>140.5</v>
      </c>
      <c r="T47" s="9">
        <f t="shared" si="4"/>
        <v>0.56939501779359436</v>
      </c>
      <c r="U47" s="8">
        <v>4041.9</v>
      </c>
      <c r="V47" s="8">
        <v>4187.5200000000004</v>
      </c>
      <c r="W47" s="8">
        <v>478.69</v>
      </c>
      <c r="Z47" s="8">
        <v>3663.63</v>
      </c>
      <c r="AD47" s="8">
        <v>750</v>
      </c>
      <c r="AE47" s="8">
        <v>135</v>
      </c>
      <c r="AI47" s="8">
        <v>43148.36</v>
      </c>
      <c r="AJ47" s="8">
        <v>10274.67</v>
      </c>
      <c r="AK47" s="8">
        <v>2093</v>
      </c>
      <c r="AO47" s="8">
        <v>5985.14</v>
      </c>
      <c r="AP47" s="8">
        <v>920.5</v>
      </c>
      <c r="AQ47" s="8">
        <v>79.209999999999994</v>
      </c>
      <c r="AS47" s="8">
        <v>6565.41</v>
      </c>
      <c r="AV47" s="8">
        <v>2090</v>
      </c>
      <c r="AW47" s="8">
        <v>-518</v>
      </c>
      <c r="AZ47" s="8">
        <v>2410.69</v>
      </c>
      <c r="BA47" s="8">
        <v>735</v>
      </c>
      <c r="BB47" s="8">
        <v>808.08</v>
      </c>
      <c r="BC47" s="8">
        <v>967.99</v>
      </c>
      <c r="BD47" s="8"/>
      <c r="BE47" s="8">
        <v>2352.63</v>
      </c>
      <c r="BF47" s="8">
        <v>1375</v>
      </c>
      <c r="BH47" s="8">
        <v>3138</v>
      </c>
      <c r="BJ47" s="8">
        <v>979</v>
      </c>
      <c r="BL47" s="8">
        <f t="shared" si="5"/>
        <v>96661.420000000027</v>
      </c>
      <c r="BM47" s="8">
        <f t="shared" si="6"/>
        <v>13256.740000000002</v>
      </c>
      <c r="BN47" s="8">
        <f t="shared" si="7"/>
        <v>29246.65</v>
      </c>
    </row>
    <row r="48" spans="1:66" x14ac:dyDescent="0.25">
      <c r="A48" s="3" t="s">
        <v>273</v>
      </c>
      <c r="B48" s="3" t="s">
        <v>274</v>
      </c>
      <c r="C48" s="3" t="s">
        <v>275</v>
      </c>
      <c r="D48" s="3" t="s">
        <v>93</v>
      </c>
      <c r="E48" t="s">
        <v>119</v>
      </c>
      <c r="F48" s="3" t="s">
        <v>119</v>
      </c>
      <c r="G48" s="3" t="s">
        <v>120</v>
      </c>
      <c r="H48" s="3" t="s">
        <v>96</v>
      </c>
      <c r="I48" s="3" t="s">
        <v>96</v>
      </c>
      <c r="O48" s="5">
        <v>95300</v>
      </c>
      <c r="P48" s="3">
        <v>150</v>
      </c>
      <c r="Q48" s="3" t="s">
        <v>276</v>
      </c>
      <c r="R48" s="3" t="s">
        <v>277</v>
      </c>
      <c r="S48" s="9">
        <v>49.625</v>
      </c>
      <c r="T48" s="9">
        <f t="shared" si="4"/>
        <v>3.0226700251889169</v>
      </c>
      <c r="W48" s="8">
        <v>509.01</v>
      </c>
      <c r="X48" s="8">
        <v>7443.62</v>
      </c>
      <c r="Z48" s="8">
        <v>454.05</v>
      </c>
      <c r="AE48" s="8">
        <v>1629.57</v>
      </c>
      <c r="AI48" s="8">
        <v>18158.71</v>
      </c>
      <c r="AJ48" s="8">
        <v>2805.4</v>
      </c>
      <c r="AK48" s="8">
        <v>420</v>
      </c>
      <c r="AU48" s="8">
        <v>14926.4</v>
      </c>
      <c r="AZ48" s="8">
        <v>241.2</v>
      </c>
      <c r="BA48" s="8"/>
      <c r="BC48" s="8">
        <v>515</v>
      </c>
      <c r="BE48" s="8">
        <v>64.599999999999994</v>
      </c>
      <c r="BL48" s="8">
        <f t="shared" si="5"/>
        <v>47167.56</v>
      </c>
      <c r="BM48" s="8">
        <f t="shared" si="6"/>
        <v>2592.63</v>
      </c>
      <c r="BN48" s="8">
        <f t="shared" si="7"/>
        <v>16167.2</v>
      </c>
    </row>
    <row r="49" spans="1:66" x14ac:dyDescent="0.25">
      <c r="A49" s="3" t="s">
        <v>278</v>
      </c>
      <c r="B49" s="3" t="s">
        <v>279</v>
      </c>
      <c r="C49" s="3" t="s">
        <v>233</v>
      </c>
      <c r="D49" s="3" t="s">
        <v>69</v>
      </c>
      <c r="F49" s="3">
        <v>3</v>
      </c>
      <c r="I49" s="3" t="s">
        <v>70</v>
      </c>
      <c r="J49" s="3" t="s">
        <v>81</v>
      </c>
      <c r="K49" s="3" t="s">
        <v>173</v>
      </c>
      <c r="L49" s="3" t="s">
        <v>228</v>
      </c>
      <c r="M49" s="3" t="s">
        <v>280</v>
      </c>
      <c r="N49" s="3" t="s">
        <v>173</v>
      </c>
      <c r="O49" s="5">
        <v>305000</v>
      </c>
      <c r="P49" s="3">
        <v>185</v>
      </c>
      <c r="Q49" s="4">
        <v>45451</v>
      </c>
      <c r="R49" s="3" t="s">
        <v>115</v>
      </c>
      <c r="S49" s="9">
        <v>194.125</v>
      </c>
      <c r="T49" s="9">
        <f t="shared" si="4"/>
        <v>0.95299420476497099</v>
      </c>
      <c r="V49" s="8">
        <v>5055.93</v>
      </c>
      <c r="W49" s="8">
        <v>958.06999999999971</v>
      </c>
      <c r="Y49" s="8">
        <v>372</v>
      </c>
      <c r="Z49" s="8">
        <v>4510.68</v>
      </c>
      <c r="AA49" s="8">
        <v>94</v>
      </c>
      <c r="AD49" s="8">
        <v>3630</v>
      </c>
      <c r="AE49" s="8">
        <v>23220.84</v>
      </c>
      <c r="AF49" s="8">
        <v>475</v>
      </c>
      <c r="AG49" s="8">
        <v>63</v>
      </c>
      <c r="AH49" s="27">
        <v>16760</v>
      </c>
      <c r="AI49" s="8">
        <v>69197.19</v>
      </c>
      <c r="AJ49" s="8">
        <v>10874.25</v>
      </c>
      <c r="AK49" s="8">
        <v>2136.33</v>
      </c>
      <c r="AQ49" s="8">
        <v>553.70000000000005</v>
      </c>
      <c r="AS49" s="8">
        <v>8634.82</v>
      </c>
      <c r="AV49" s="8">
        <v>3490.83</v>
      </c>
      <c r="AZ49" s="8">
        <v>8680.48</v>
      </c>
      <c r="BA49" s="8"/>
      <c r="BB49" s="8">
        <v>763.86</v>
      </c>
      <c r="BC49" s="8">
        <v>3240.66</v>
      </c>
      <c r="BE49" s="8">
        <v>8054.18</v>
      </c>
      <c r="BF49" s="8">
        <v>14155</v>
      </c>
      <c r="BH49" s="8">
        <v>7143.9</v>
      </c>
      <c r="BI49" s="8">
        <v>24480</v>
      </c>
      <c r="BJ49" s="8">
        <v>8108.07</v>
      </c>
      <c r="BL49" s="8">
        <f t="shared" si="5"/>
        <v>224652.79</v>
      </c>
      <c r="BM49" s="8">
        <f t="shared" si="6"/>
        <v>38379.520000000004</v>
      </c>
      <c r="BN49" s="8">
        <f t="shared" si="7"/>
        <v>89441.830000000016</v>
      </c>
    </row>
    <row r="50" spans="1:66" x14ac:dyDescent="0.25">
      <c r="A50" s="3" t="s">
        <v>281</v>
      </c>
      <c r="B50" s="3" t="s">
        <v>282</v>
      </c>
      <c r="C50" s="3" t="s">
        <v>283</v>
      </c>
      <c r="D50" s="3" t="s">
        <v>69</v>
      </c>
      <c r="F50" s="3">
        <v>2</v>
      </c>
      <c r="I50" s="3" t="s">
        <v>70</v>
      </c>
      <c r="J50" s="3" t="s">
        <v>81</v>
      </c>
      <c r="K50" s="3" t="s">
        <v>173</v>
      </c>
      <c r="L50" s="3" t="s">
        <v>228</v>
      </c>
      <c r="M50" s="3" t="s">
        <v>280</v>
      </c>
      <c r="N50" s="3" t="s">
        <v>173</v>
      </c>
      <c r="O50" s="5">
        <v>275500</v>
      </c>
      <c r="P50" s="3">
        <v>129</v>
      </c>
      <c r="Q50" s="3" t="s">
        <v>284</v>
      </c>
      <c r="R50" s="3" t="s">
        <v>285</v>
      </c>
      <c r="S50" s="9">
        <v>87.9375</v>
      </c>
      <c r="T50" s="9">
        <f t="shared" si="4"/>
        <v>1.466950959488273</v>
      </c>
      <c r="U50" s="8">
        <v>563.30999999999995</v>
      </c>
      <c r="V50" s="8">
        <v>5772.55</v>
      </c>
      <c r="W50" s="8">
        <v>380</v>
      </c>
      <c r="Z50" s="8">
        <v>1410.77</v>
      </c>
      <c r="AE50" s="8">
        <v>6741</v>
      </c>
      <c r="AG50" s="8">
        <v>40</v>
      </c>
      <c r="AI50" s="8">
        <v>30840.560000000001</v>
      </c>
      <c r="AJ50" s="8">
        <v>4638.1000000000004</v>
      </c>
      <c r="AK50" s="8">
        <v>4544.58</v>
      </c>
      <c r="AQ50" s="8">
        <v>515</v>
      </c>
      <c r="AS50" s="8">
        <v>15771</v>
      </c>
      <c r="AU50" s="8">
        <v>1804</v>
      </c>
      <c r="AV50" s="8">
        <v>369</v>
      </c>
      <c r="AZ50" s="8">
        <v>19207.8</v>
      </c>
      <c r="BA50" s="8">
        <v>17482.5</v>
      </c>
      <c r="BB50" s="8">
        <v>39.409999999999997</v>
      </c>
      <c r="BC50" s="8">
        <v>1193</v>
      </c>
      <c r="BD50" s="8">
        <v>575</v>
      </c>
      <c r="BE50" s="8">
        <v>8211.0300000000007</v>
      </c>
      <c r="BF50" s="8">
        <v>10430</v>
      </c>
      <c r="BH50" s="8">
        <v>3329.8</v>
      </c>
      <c r="BI50" s="8">
        <v>18360</v>
      </c>
      <c r="BJ50" s="8">
        <v>2851.25</v>
      </c>
      <c r="BL50" s="8">
        <f t="shared" si="5"/>
        <v>155069.66</v>
      </c>
      <c r="BM50" s="8">
        <f t="shared" si="6"/>
        <v>14907.630000000001</v>
      </c>
      <c r="BN50" s="8">
        <f t="shared" si="7"/>
        <v>86625.87000000001</v>
      </c>
    </row>
    <row r="51" spans="1:66" x14ac:dyDescent="0.25">
      <c r="A51" s="3" t="s">
        <v>286</v>
      </c>
      <c r="B51" s="3" t="s">
        <v>287</v>
      </c>
      <c r="C51" s="3" t="s">
        <v>78</v>
      </c>
      <c r="D51" s="3" t="s">
        <v>79</v>
      </c>
      <c r="G51" s="3" t="s">
        <v>204</v>
      </c>
      <c r="H51" s="3" t="s">
        <v>205</v>
      </c>
      <c r="I51" s="3" t="s">
        <v>80</v>
      </c>
      <c r="J51" s="3" t="s">
        <v>81</v>
      </c>
      <c r="K51" s="3" t="s">
        <v>72</v>
      </c>
      <c r="L51" s="3" t="s">
        <v>73</v>
      </c>
      <c r="M51" s="3" t="s">
        <v>74</v>
      </c>
      <c r="N51" s="3" t="s">
        <v>72</v>
      </c>
      <c r="O51" s="5">
        <v>393425</v>
      </c>
      <c r="P51" s="3">
        <v>535</v>
      </c>
      <c r="Q51" s="3" t="s">
        <v>288</v>
      </c>
      <c r="R51" s="3" t="s">
        <v>82</v>
      </c>
      <c r="S51" s="9">
        <v>163.4375</v>
      </c>
      <c r="T51" s="9">
        <f t="shared" si="4"/>
        <v>3.2734225621414912</v>
      </c>
      <c r="U51" s="8">
        <v>2118</v>
      </c>
      <c r="W51" s="8">
        <v>469.1</v>
      </c>
      <c r="Z51" s="8">
        <v>1788.44</v>
      </c>
      <c r="AD51" s="8">
        <v>5350</v>
      </c>
      <c r="AE51" s="8">
        <v>3527.07</v>
      </c>
      <c r="AI51" s="8">
        <v>54521.03</v>
      </c>
      <c r="AJ51" s="8">
        <v>10116.33</v>
      </c>
      <c r="AK51" s="8">
        <v>13907.89</v>
      </c>
      <c r="AL51" s="8">
        <v>200</v>
      </c>
      <c r="AN51" s="8">
        <v>134</v>
      </c>
      <c r="AQ51" s="8">
        <v>172.12</v>
      </c>
      <c r="AS51" s="8">
        <v>3557</v>
      </c>
      <c r="AV51" s="8">
        <v>74792.960000000006</v>
      </c>
      <c r="AZ51" s="8">
        <v>14072.84</v>
      </c>
      <c r="BA51" s="8">
        <v>4988</v>
      </c>
      <c r="BB51" s="8">
        <v>943.5</v>
      </c>
      <c r="BC51" s="8">
        <v>1502.01</v>
      </c>
      <c r="BE51" s="8">
        <v>15058.52</v>
      </c>
      <c r="BH51" s="8">
        <v>46125</v>
      </c>
      <c r="BJ51" s="8">
        <v>1680</v>
      </c>
      <c r="BL51" s="8">
        <f t="shared" si="5"/>
        <v>255023.81</v>
      </c>
      <c r="BM51" s="8">
        <f t="shared" si="6"/>
        <v>13252.61</v>
      </c>
      <c r="BN51" s="8">
        <f t="shared" si="7"/>
        <v>172145.84</v>
      </c>
    </row>
    <row r="52" spans="1:66" x14ac:dyDescent="0.25">
      <c r="A52" s="3" t="s">
        <v>289</v>
      </c>
      <c r="B52" s="3" t="s">
        <v>290</v>
      </c>
      <c r="C52" s="3" t="s">
        <v>78</v>
      </c>
      <c r="D52" s="3" t="s">
        <v>79</v>
      </c>
      <c r="G52" s="3" t="s">
        <v>204</v>
      </c>
      <c r="H52" s="3" t="s">
        <v>205</v>
      </c>
      <c r="I52" s="3" t="s">
        <v>80</v>
      </c>
      <c r="J52" s="3" t="s">
        <v>81</v>
      </c>
      <c r="K52" s="3" t="s">
        <v>72</v>
      </c>
      <c r="L52" s="3" t="s">
        <v>73</v>
      </c>
      <c r="M52" s="3" t="s">
        <v>74</v>
      </c>
      <c r="N52" s="3" t="s">
        <v>72</v>
      </c>
      <c r="O52" s="5">
        <v>2044780</v>
      </c>
      <c r="P52" s="3">
        <v>2434</v>
      </c>
      <c r="Q52" s="3" t="s">
        <v>291</v>
      </c>
      <c r="R52" s="3" t="s">
        <v>82</v>
      </c>
      <c r="S52" s="9">
        <v>840.75</v>
      </c>
      <c r="T52" s="9">
        <f t="shared" si="4"/>
        <v>2.8950341956586381</v>
      </c>
      <c r="U52" s="8">
        <v>9462</v>
      </c>
      <c r="V52" s="8">
        <v>3764.9</v>
      </c>
      <c r="W52" s="8">
        <v>1172.75</v>
      </c>
      <c r="Z52" s="8">
        <v>12314.24</v>
      </c>
      <c r="AD52" s="8">
        <v>24350</v>
      </c>
      <c r="AE52" s="8">
        <v>11365.01</v>
      </c>
      <c r="AG52" s="8">
        <v>200</v>
      </c>
      <c r="AI52" s="8">
        <v>283561.15999999997</v>
      </c>
      <c r="AJ52" s="8">
        <v>49111.65</v>
      </c>
      <c r="AK52" s="8">
        <v>50766.74</v>
      </c>
      <c r="AQ52" s="8">
        <v>8584.66</v>
      </c>
      <c r="AS52" s="8">
        <v>15477.17</v>
      </c>
      <c r="AV52" s="8">
        <v>317518.59999999998</v>
      </c>
      <c r="AZ52" s="8">
        <v>42200.91</v>
      </c>
      <c r="BA52" s="8">
        <v>207142</v>
      </c>
      <c r="BB52" s="8">
        <v>5343.82</v>
      </c>
      <c r="BC52" s="8">
        <v>7126.88</v>
      </c>
      <c r="BE52" s="8">
        <v>82142.27</v>
      </c>
      <c r="BH52" s="8">
        <v>206550</v>
      </c>
      <c r="BJ52" s="8">
        <v>24403.14</v>
      </c>
      <c r="BL52" s="8">
        <f t="shared" si="5"/>
        <v>1362557.8999999997</v>
      </c>
      <c r="BM52" s="8">
        <f t="shared" si="6"/>
        <v>62628.9</v>
      </c>
      <c r="BN52" s="8">
        <f t="shared" si="7"/>
        <v>760114.19</v>
      </c>
    </row>
    <row r="53" spans="1:66" x14ac:dyDescent="0.25">
      <c r="A53" s="3" t="s">
        <v>292</v>
      </c>
      <c r="B53" s="3" t="s">
        <v>293</v>
      </c>
      <c r="C53" s="3" t="s">
        <v>256</v>
      </c>
      <c r="D53" s="3" t="s">
        <v>126</v>
      </c>
      <c r="O53" s="5">
        <v>85940</v>
      </c>
      <c r="P53" s="3">
        <v>56</v>
      </c>
      <c r="Q53" s="3" t="s">
        <v>294</v>
      </c>
      <c r="R53" s="3" t="s">
        <v>277</v>
      </c>
      <c r="S53" s="9">
        <v>52.75</v>
      </c>
      <c r="T53" s="9">
        <f t="shared" si="4"/>
        <v>1.061611374407583</v>
      </c>
      <c r="V53" s="8">
        <v>3822.93</v>
      </c>
      <c r="W53" s="8">
        <v>479.38</v>
      </c>
      <c r="Z53" s="8">
        <v>954.48</v>
      </c>
      <c r="AE53" s="8">
        <v>90</v>
      </c>
      <c r="AI53" s="8">
        <v>14781.91</v>
      </c>
      <c r="AJ53" s="8">
        <v>7499.51</v>
      </c>
      <c r="AK53" s="8">
        <v>1134.8499999999999</v>
      </c>
      <c r="AO53" s="8">
        <v>6760.1</v>
      </c>
      <c r="AP53" s="8">
        <v>789</v>
      </c>
      <c r="AQ53" s="8">
        <v>717.93</v>
      </c>
      <c r="AS53" s="8">
        <v>1448.52</v>
      </c>
      <c r="AY53" s="8">
        <v>926.4</v>
      </c>
      <c r="AZ53" s="8">
        <v>134</v>
      </c>
      <c r="BA53" s="8"/>
      <c r="BB53" s="8">
        <v>1979.76</v>
      </c>
      <c r="BC53" s="8">
        <v>603.65</v>
      </c>
      <c r="BE53" s="8">
        <v>973.74</v>
      </c>
      <c r="BL53" s="8">
        <f t="shared" si="5"/>
        <v>43096.159999999996</v>
      </c>
      <c r="BM53" s="8">
        <f t="shared" si="6"/>
        <v>5346.7899999999991</v>
      </c>
      <c r="BN53" s="8">
        <f t="shared" si="7"/>
        <v>15467.95</v>
      </c>
    </row>
    <row r="54" spans="1:66" x14ac:dyDescent="0.25">
      <c r="A54" s="14" t="s">
        <v>295</v>
      </c>
      <c r="B54" s="14" t="s">
        <v>296</v>
      </c>
      <c r="C54" s="14" t="s">
        <v>125</v>
      </c>
      <c r="D54" s="14" t="s">
        <v>126</v>
      </c>
      <c r="F54" s="19"/>
      <c r="G54" s="19"/>
      <c r="H54" s="19"/>
      <c r="I54" s="19"/>
      <c r="J54" s="19"/>
      <c r="K54" s="19"/>
      <c r="L54" s="19"/>
      <c r="M54" s="19"/>
      <c r="N54" s="19"/>
      <c r="O54" s="16">
        <v>431117.13</v>
      </c>
      <c r="P54" s="14">
        <v>203</v>
      </c>
      <c r="Q54" s="14" t="s">
        <v>297</v>
      </c>
      <c r="R54" s="14" t="s">
        <v>298</v>
      </c>
      <c r="S54" s="17">
        <v>341.59375</v>
      </c>
      <c r="T54" s="17">
        <f t="shared" si="4"/>
        <v>0.59427316805415786</v>
      </c>
      <c r="U54" s="18">
        <v>12932.56</v>
      </c>
      <c r="V54" s="18">
        <v>912.74</v>
      </c>
      <c r="W54" s="18">
        <v>19150</v>
      </c>
      <c r="X54" s="19"/>
      <c r="Y54" s="19"/>
      <c r="Z54" s="18">
        <v>8331.44</v>
      </c>
      <c r="AA54" s="19"/>
      <c r="AB54" s="19"/>
      <c r="AC54" s="19"/>
      <c r="AD54" s="18">
        <v>2350</v>
      </c>
      <c r="AE54" s="18">
        <v>12255</v>
      </c>
      <c r="AF54" s="19"/>
      <c r="AG54" s="19"/>
      <c r="AH54" s="28">
        <v>34710</v>
      </c>
      <c r="AI54" s="18">
        <v>119401.67</v>
      </c>
      <c r="AJ54" s="18">
        <v>12979.45</v>
      </c>
      <c r="AK54" s="18">
        <v>8683.6200000000008</v>
      </c>
      <c r="AL54" s="19"/>
      <c r="AM54" s="19"/>
      <c r="AN54" s="19"/>
      <c r="AO54" s="18">
        <v>8246.4599999999991</v>
      </c>
      <c r="AP54" s="18">
        <v>785.97</v>
      </c>
      <c r="AQ54" s="18">
        <v>9428.0400000000009</v>
      </c>
      <c r="AR54" s="19"/>
      <c r="AS54" s="18">
        <v>17455.8</v>
      </c>
      <c r="AT54" s="19"/>
      <c r="AU54" s="19"/>
      <c r="AV54" s="18">
        <v>16129.04</v>
      </c>
      <c r="AW54" s="19"/>
      <c r="AX54" s="19"/>
      <c r="AY54" s="19"/>
      <c r="AZ54" s="18">
        <v>9260.76</v>
      </c>
      <c r="BA54" s="18"/>
      <c r="BB54" s="18">
        <v>2158.7800000000002</v>
      </c>
      <c r="BC54" s="18">
        <v>4068.7999999999988</v>
      </c>
      <c r="BD54" s="18">
        <v>6993.5</v>
      </c>
      <c r="BE54" s="18">
        <v>9175.57</v>
      </c>
      <c r="BF54" s="19"/>
      <c r="BG54" s="19"/>
      <c r="BH54" s="18">
        <v>24131.83</v>
      </c>
      <c r="BI54" s="19"/>
      <c r="BJ54" s="18">
        <v>4535.5</v>
      </c>
      <c r="BK54" s="18"/>
      <c r="BL54" s="8">
        <f t="shared" si="5"/>
        <v>344076.53</v>
      </c>
      <c r="BM54" s="8">
        <f t="shared" si="6"/>
        <v>55931.740000000005</v>
      </c>
      <c r="BN54" s="8">
        <f t="shared" si="7"/>
        <v>114060.17</v>
      </c>
    </row>
    <row r="55" spans="1:66" x14ac:dyDescent="0.25">
      <c r="A55" s="3" t="s">
        <v>299</v>
      </c>
      <c r="B55" s="3" t="s">
        <v>300</v>
      </c>
      <c r="C55" s="3" t="s">
        <v>268</v>
      </c>
      <c r="D55" s="3" t="s">
        <v>93</v>
      </c>
      <c r="E55" t="s">
        <v>301</v>
      </c>
      <c r="F55" s="3" t="s">
        <v>301</v>
      </c>
      <c r="G55" s="3" t="s">
        <v>302</v>
      </c>
      <c r="H55" s="3" t="s">
        <v>96</v>
      </c>
      <c r="I55" s="3" t="s">
        <v>96</v>
      </c>
      <c r="O55" s="5">
        <v>1354917</v>
      </c>
      <c r="P55" s="3">
        <v>4000</v>
      </c>
      <c r="Q55" s="4">
        <v>45791</v>
      </c>
      <c r="R55" s="3" t="s">
        <v>115</v>
      </c>
      <c r="S55" s="9">
        <v>1018.625</v>
      </c>
      <c r="T55" s="9">
        <f t="shared" si="4"/>
        <v>3.9268621916799606</v>
      </c>
      <c r="U55" s="8">
        <v>11070.34</v>
      </c>
      <c r="V55" s="8">
        <v>933.68</v>
      </c>
      <c r="W55" s="8">
        <v>2210</v>
      </c>
      <c r="X55" s="8">
        <v>7800</v>
      </c>
      <c r="Z55" s="8">
        <v>13837.73</v>
      </c>
      <c r="AD55" s="8">
        <v>29872.5</v>
      </c>
      <c r="AE55" s="8">
        <v>5270</v>
      </c>
      <c r="AG55" s="8">
        <v>180</v>
      </c>
      <c r="AI55" s="8">
        <v>346116.92</v>
      </c>
      <c r="AJ55" s="8">
        <v>64013.36</v>
      </c>
      <c r="AK55" s="8">
        <v>4206.9799999999996</v>
      </c>
      <c r="AL55" s="8">
        <v>105</v>
      </c>
      <c r="AN55" s="8">
        <v>105</v>
      </c>
      <c r="AQ55" s="8">
        <v>1295.24</v>
      </c>
      <c r="AS55" s="8">
        <v>7564.8</v>
      </c>
      <c r="AU55" s="8">
        <v>214339.72</v>
      </c>
      <c r="AX55" s="8">
        <v>53373.33</v>
      </c>
      <c r="AZ55" s="8">
        <v>62596.3</v>
      </c>
      <c r="BA55" s="8">
        <v>3439.5</v>
      </c>
      <c r="BB55" s="8">
        <v>4736.3900000000003</v>
      </c>
      <c r="BC55" s="8">
        <v>13118.06</v>
      </c>
      <c r="BE55" s="8">
        <v>33447.39</v>
      </c>
      <c r="BL55" s="8">
        <f t="shared" si="5"/>
        <v>879632.24</v>
      </c>
      <c r="BM55" s="8">
        <f t="shared" si="6"/>
        <v>63374.25</v>
      </c>
      <c r="BN55" s="8">
        <f t="shared" si="7"/>
        <v>394888.21</v>
      </c>
    </row>
    <row r="56" spans="1:66" x14ac:dyDescent="0.25">
      <c r="A56" s="3" t="s">
        <v>303</v>
      </c>
      <c r="B56" s="3" t="s">
        <v>304</v>
      </c>
      <c r="C56" s="3" t="s">
        <v>305</v>
      </c>
      <c r="D56" s="3" t="s">
        <v>126</v>
      </c>
      <c r="O56" s="5">
        <v>1005960</v>
      </c>
      <c r="P56" s="3">
        <v>404</v>
      </c>
      <c r="Q56" s="4">
        <v>45668</v>
      </c>
      <c r="R56" s="3" t="s">
        <v>306</v>
      </c>
      <c r="S56" s="9">
        <v>590.75</v>
      </c>
      <c r="T56" s="9">
        <f t="shared" si="4"/>
        <v>0.68387642826914941</v>
      </c>
      <c r="U56" s="8">
        <v>18839.09</v>
      </c>
      <c r="V56" s="8">
        <v>21345.78</v>
      </c>
      <c r="W56" s="8">
        <v>1220</v>
      </c>
      <c r="Y56" s="8">
        <v>43.99</v>
      </c>
      <c r="Z56" s="8">
        <v>11406.7</v>
      </c>
      <c r="AB56" s="8">
        <v>2664</v>
      </c>
      <c r="AC56" s="8">
        <v>230.87</v>
      </c>
      <c r="AD56" s="8">
        <v>3294</v>
      </c>
      <c r="AE56" s="8">
        <v>4020.4700000000012</v>
      </c>
      <c r="AF56" s="8">
        <v>3500</v>
      </c>
      <c r="AG56" s="8">
        <v>40</v>
      </c>
      <c r="AH56" s="27">
        <v>9554</v>
      </c>
      <c r="AI56" s="8">
        <v>217383.67999999999</v>
      </c>
      <c r="AJ56" s="8">
        <v>42028.76</v>
      </c>
      <c r="AK56" s="8">
        <v>21674.01</v>
      </c>
      <c r="AL56" s="8">
        <v>2220</v>
      </c>
      <c r="AM56" s="8">
        <v>77905</v>
      </c>
      <c r="AN56" s="8">
        <v>53425</v>
      </c>
      <c r="AQ56" s="8">
        <v>8531.5</v>
      </c>
      <c r="AS56" s="8">
        <v>63956.639999999999</v>
      </c>
      <c r="AV56" s="8">
        <v>37930.629999999997</v>
      </c>
      <c r="AZ56" s="8">
        <v>60329.36</v>
      </c>
      <c r="BA56" s="8"/>
      <c r="BB56" s="8">
        <v>1350.77</v>
      </c>
      <c r="BC56" s="8">
        <v>14479.46</v>
      </c>
      <c r="BD56" s="8">
        <v>600</v>
      </c>
      <c r="BE56" s="8">
        <v>35336.01</v>
      </c>
      <c r="BF56" s="8">
        <v>34016.44</v>
      </c>
      <c r="BJ56" s="8">
        <v>2496</v>
      </c>
      <c r="BL56" s="8">
        <f t="shared" si="5"/>
        <v>749822.15999999992</v>
      </c>
      <c r="BM56" s="8">
        <f t="shared" si="6"/>
        <v>66604.899999999994</v>
      </c>
      <c r="BN56" s="8">
        <f t="shared" si="7"/>
        <v>413650.82000000007</v>
      </c>
    </row>
    <row r="57" spans="1:66" x14ac:dyDescent="0.25">
      <c r="A57" s="3" t="s">
        <v>307</v>
      </c>
      <c r="B57" s="3" t="s">
        <v>308</v>
      </c>
      <c r="C57" s="3" t="s">
        <v>309</v>
      </c>
      <c r="D57" s="3" t="s">
        <v>93</v>
      </c>
      <c r="E57" t="s">
        <v>102</v>
      </c>
      <c r="F57" s="3" t="s">
        <v>102</v>
      </c>
      <c r="G57" s="3" t="s">
        <v>96</v>
      </c>
      <c r="H57" s="3" t="s">
        <v>96</v>
      </c>
      <c r="O57" s="5">
        <v>125000</v>
      </c>
      <c r="P57" s="3">
        <v>278</v>
      </c>
      <c r="Q57" s="3" t="s">
        <v>310</v>
      </c>
      <c r="R57" s="3" t="s">
        <v>115</v>
      </c>
      <c r="S57" s="9">
        <v>88.75</v>
      </c>
      <c r="T57" s="9">
        <f t="shared" si="4"/>
        <v>3.1323943661971829</v>
      </c>
      <c r="W57" s="8">
        <v>190</v>
      </c>
      <c r="Z57" s="8">
        <v>1412.13</v>
      </c>
      <c r="AE57" s="8">
        <v>80</v>
      </c>
      <c r="AI57" s="8">
        <v>32246.78</v>
      </c>
      <c r="AJ57" s="8">
        <v>1792.76</v>
      </c>
      <c r="AK57" s="8">
        <v>65.08</v>
      </c>
      <c r="AN57" s="8">
        <v>593</v>
      </c>
      <c r="AQ57" s="8">
        <v>824.73</v>
      </c>
      <c r="AU57" s="8">
        <v>17024.5</v>
      </c>
      <c r="AZ57" s="8">
        <v>3465.66</v>
      </c>
      <c r="BA57" s="8"/>
      <c r="BB57" s="8">
        <v>120.89</v>
      </c>
      <c r="BC57" s="8">
        <v>564.45000000000005</v>
      </c>
      <c r="BE57" s="8">
        <v>2059.33</v>
      </c>
      <c r="BL57" s="8">
        <f t="shared" si="5"/>
        <v>60439.31</v>
      </c>
      <c r="BM57" s="8">
        <f t="shared" si="6"/>
        <v>1682.13</v>
      </c>
      <c r="BN57" s="8">
        <f t="shared" si="7"/>
        <v>24717.64</v>
      </c>
    </row>
    <row r="58" spans="1:66" x14ac:dyDescent="0.25">
      <c r="A58" s="3" t="s">
        <v>311</v>
      </c>
      <c r="B58" s="3" t="s">
        <v>312</v>
      </c>
      <c r="C58" s="3" t="s">
        <v>313</v>
      </c>
      <c r="D58" s="3" t="s">
        <v>93</v>
      </c>
      <c r="E58" t="s">
        <v>94</v>
      </c>
      <c r="F58" s="3" t="s">
        <v>94</v>
      </c>
      <c r="G58" s="3" t="s">
        <v>95</v>
      </c>
      <c r="H58" s="3" t="s">
        <v>96</v>
      </c>
      <c r="I58" s="3" t="s">
        <v>96</v>
      </c>
      <c r="O58" s="5">
        <v>328390</v>
      </c>
      <c r="P58" s="3">
        <v>502</v>
      </c>
      <c r="Q58" s="3" t="s">
        <v>314</v>
      </c>
      <c r="R58" s="3" t="s">
        <v>115</v>
      </c>
      <c r="S58" s="9">
        <v>194</v>
      </c>
      <c r="T58" s="9">
        <f t="shared" si="4"/>
        <v>2.5876288659793816</v>
      </c>
      <c r="W58" s="8">
        <v>544.53</v>
      </c>
      <c r="Z58" s="8">
        <v>1322.49</v>
      </c>
      <c r="AG58" s="8">
        <v>80</v>
      </c>
      <c r="AI58" s="8">
        <v>60559.83</v>
      </c>
      <c r="AJ58" s="8">
        <v>11223.43</v>
      </c>
      <c r="AK58" s="8">
        <v>1360</v>
      </c>
      <c r="AQ58" s="8">
        <v>45</v>
      </c>
      <c r="AS58" s="8">
        <v>567.73</v>
      </c>
      <c r="AU58" s="8">
        <v>602.4</v>
      </c>
      <c r="BA58" s="8">
        <v>100570.75</v>
      </c>
      <c r="BB58" s="8">
        <v>517.65</v>
      </c>
      <c r="BC58" s="8">
        <v>7387.91</v>
      </c>
      <c r="BE58" s="8">
        <v>9060.5400000000009</v>
      </c>
      <c r="BL58" s="8">
        <f t="shared" si="5"/>
        <v>193842.25999999998</v>
      </c>
      <c r="BM58" s="8">
        <f t="shared" si="6"/>
        <v>1947.02</v>
      </c>
      <c r="BN58" s="8">
        <f t="shared" si="7"/>
        <v>19541.23000000001</v>
      </c>
    </row>
    <row r="59" spans="1:66" x14ac:dyDescent="0.25">
      <c r="A59" s="3" t="s">
        <v>315</v>
      </c>
      <c r="B59" s="3" t="s">
        <v>316</v>
      </c>
      <c r="C59" s="3" t="s">
        <v>177</v>
      </c>
      <c r="D59" s="3" t="s">
        <v>93</v>
      </c>
      <c r="E59" t="s">
        <v>102</v>
      </c>
      <c r="F59" s="3" t="s">
        <v>102</v>
      </c>
      <c r="G59" s="3" t="s">
        <v>96</v>
      </c>
      <c r="H59" s="3" t="s">
        <v>96</v>
      </c>
      <c r="O59" s="5">
        <v>385000</v>
      </c>
      <c r="P59" s="3">
        <v>1062</v>
      </c>
      <c r="Q59" s="3" t="s">
        <v>317</v>
      </c>
      <c r="R59" s="3" t="s">
        <v>318</v>
      </c>
      <c r="S59" s="9">
        <v>162.875</v>
      </c>
      <c r="T59" s="9">
        <f t="shared" si="4"/>
        <v>6.5203376822716805</v>
      </c>
      <c r="W59" s="8">
        <v>460</v>
      </c>
      <c r="Z59" s="8">
        <v>1564.24</v>
      </c>
      <c r="AI59" s="8">
        <v>49423.12</v>
      </c>
      <c r="AJ59" s="8">
        <v>15100.52</v>
      </c>
      <c r="AK59" s="8">
        <v>323</v>
      </c>
      <c r="AN59" s="8">
        <v>1440</v>
      </c>
      <c r="AQ59" s="8">
        <v>856.09</v>
      </c>
      <c r="AS59" s="8">
        <v>1156</v>
      </c>
      <c r="AU59" s="8">
        <v>62550</v>
      </c>
      <c r="AZ59" s="8">
        <v>15008.2</v>
      </c>
      <c r="BA59" s="8"/>
      <c r="BB59" s="8">
        <v>22.11</v>
      </c>
      <c r="BC59" s="8">
        <v>268.5</v>
      </c>
      <c r="BE59" s="8">
        <v>6637.06</v>
      </c>
      <c r="BL59" s="8">
        <f t="shared" si="5"/>
        <v>154808.84</v>
      </c>
      <c r="BM59" s="8">
        <f t="shared" si="6"/>
        <v>2024.24</v>
      </c>
      <c r="BN59" s="8">
        <f t="shared" si="7"/>
        <v>88260.959999999992</v>
      </c>
    </row>
    <row r="60" spans="1:66" x14ac:dyDescent="0.25">
      <c r="A60" s="3" t="s">
        <v>319</v>
      </c>
      <c r="B60" s="3" t="s">
        <v>320</v>
      </c>
      <c r="C60" s="3" t="s">
        <v>321</v>
      </c>
      <c r="D60" s="3" t="s">
        <v>126</v>
      </c>
      <c r="O60" s="5">
        <v>3236858</v>
      </c>
      <c r="P60" s="3">
        <v>1120</v>
      </c>
      <c r="Q60" s="3" t="s">
        <v>322</v>
      </c>
      <c r="R60" s="3" t="s">
        <v>98</v>
      </c>
      <c r="S60" s="9">
        <v>1244.1875</v>
      </c>
      <c r="T60" s="9">
        <f t="shared" si="4"/>
        <v>0.90018586426885017</v>
      </c>
      <c r="U60" s="8">
        <v>10322.530000000001</v>
      </c>
      <c r="V60" s="8">
        <v>109412.48</v>
      </c>
      <c r="W60" s="8">
        <v>10044.25</v>
      </c>
      <c r="Z60" s="8">
        <v>19555.810000000001</v>
      </c>
      <c r="AB60" s="8">
        <v>660</v>
      </c>
      <c r="AD60" s="8">
        <v>17948.7</v>
      </c>
      <c r="AE60" s="8">
        <v>85560.56</v>
      </c>
      <c r="AH60" s="27">
        <v>117679</v>
      </c>
      <c r="AI60" s="8">
        <v>416721.89</v>
      </c>
      <c r="AJ60" s="8">
        <v>126067.27</v>
      </c>
      <c r="AK60" s="8">
        <v>7668.86</v>
      </c>
      <c r="AL60" s="8">
        <v>6727.8</v>
      </c>
      <c r="AM60" s="8">
        <v>1334.88</v>
      </c>
      <c r="AO60" s="8">
        <v>140</v>
      </c>
      <c r="AP60" s="8">
        <v>15303.5</v>
      </c>
      <c r="AQ60" s="8">
        <v>1920</v>
      </c>
      <c r="AS60" s="8">
        <v>108198.69</v>
      </c>
      <c r="AU60" s="8">
        <v>2218.8000000000002</v>
      </c>
      <c r="AV60" s="8">
        <v>108850.66</v>
      </c>
      <c r="AY60" s="8">
        <v>1016</v>
      </c>
      <c r="AZ60" s="8">
        <v>290027.33</v>
      </c>
      <c r="BA60" s="8"/>
      <c r="BB60" s="8">
        <v>5572.98</v>
      </c>
      <c r="BC60" s="8">
        <v>19721.46</v>
      </c>
      <c r="BD60" s="8">
        <v>242</v>
      </c>
      <c r="BE60" s="8">
        <v>78166.710000000006</v>
      </c>
      <c r="BF60" s="8">
        <v>63206.400000000001</v>
      </c>
      <c r="BH60" s="8">
        <v>17259.93</v>
      </c>
      <c r="BI60" s="8">
        <v>180053.45</v>
      </c>
      <c r="BJ60" s="8">
        <v>30671.39</v>
      </c>
      <c r="BK60" s="8">
        <v>48635.4</v>
      </c>
      <c r="BL60" s="8">
        <f t="shared" si="5"/>
        <v>1900908.7299999995</v>
      </c>
      <c r="BM60" s="8">
        <f t="shared" si="6"/>
        <v>253504.33000000002</v>
      </c>
      <c r="BN60" s="8">
        <f t="shared" si="7"/>
        <v>938058.84</v>
      </c>
    </row>
    <row r="61" spans="1:66" x14ac:dyDescent="0.25">
      <c r="A61" s="3" t="s">
        <v>323</v>
      </c>
      <c r="B61" s="3" t="s">
        <v>324</v>
      </c>
      <c r="C61" s="3" t="s">
        <v>177</v>
      </c>
      <c r="D61" s="3" t="s">
        <v>93</v>
      </c>
      <c r="E61" t="s">
        <v>209</v>
      </c>
      <c r="F61" s="3" t="s">
        <v>209</v>
      </c>
      <c r="G61" s="3" t="s">
        <v>210</v>
      </c>
      <c r="H61" s="3" t="s">
        <v>211</v>
      </c>
      <c r="I61" s="3" t="s">
        <v>212</v>
      </c>
      <c r="J61" s="3" t="s">
        <v>147</v>
      </c>
      <c r="K61" s="3" t="s">
        <v>96</v>
      </c>
      <c r="L61" s="3" t="s">
        <v>96</v>
      </c>
      <c r="O61" s="5">
        <v>325000</v>
      </c>
      <c r="P61" s="3">
        <v>211</v>
      </c>
      <c r="Q61" s="3" t="s">
        <v>325</v>
      </c>
      <c r="R61" s="3" t="s">
        <v>98</v>
      </c>
      <c r="S61" s="9">
        <v>158.0625</v>
      </c>
      <c r="T61" s="9">
        <f t="shared" si="4"/>
        <v>1.3349149861605378</v>
      </c>
      <c r="V61" s="8">
        <v>419.41</v>
      </c>
      <c r="W61" s="8">
        <v>380</v>
      </c>
      <c r="Z61" s="8">
        <v>1248.33</v>
      </c>
      <c r="AC61" s="8">
        <v>10000</v>
      </c>
      <c r="AE61" s="8">
        <v>60388.77</v>
      </c>
      <c r="AH61" s="27">
        <v>12600</v>
      </c>
      <c r="AI61" s="8">
        <v>38717.1</v>
      </c>
      <c r="AJ61" s="8">
        <v>31928.19</v>
      </c>
      <c r="AK61" s="8">
        <v>65</v>
      </c>
      <c r="AL61" s="8">
        <v>270</v>
      </c>
      <c r="AN61" s="8">
        <v>309</v>
      </c>
      <c r="AR61" s="8">
        <v>2080</v>
      </c>
      <c r="AS61" s="8">
        <v>3044.23</v>
      </c>
      <c r="AU61" s="8">
        <v>24941.25</v>
      </c>
      <c r="AV61" s="8">
        <v>270</v>
      </c>
      <c r="AW61" s="8">
        <v>198</v>
      </c>
      <c r="AX61" s="8">
        <v>8517</v>
      </c>
      <c r="AZ61" s="8">
        <v>23232.22</v>
      </c>
      <c r="BA61" s="8">
        <v>2750</v>
      </c>
      <c r="BB61" s="8">
        <v>1797.97</v>
      </c>
      <c r="BC61" s="8">
        <v>9587.57</v>
      </c>
      <c r="BE61" s="8">
        <v>5091.04</v>
      </c>
      <c r="BK61" s="8"/>
      <c r="BL61" s="8">
        <f t="shared" si="5"/>
        <v>237835.08000000002</v>
      </c>
      <c r="BM61" s="8">
        <f t="shared" si="6"/>
        <v>72436.509999999995</v>
      </c>
      <c r="BN61" s="8">
        <f t="shared" si="7"/>
        <v>79403.279999999984</v>
      </c>
    </row>
    <row r="62" spans="1:66" x14ac:dyDescent="0.25">
      <c r="A62" s="3" t="s">
        <v>326</v>
      </c>
      <c r="B62" s="3" t="s">
        <v>327</v>
      </c>
      <c r="C62" s="3" t="s">
        <v>328</v>
      </c>
      <c r="D62" s="3" t="s">
        <v>93</v>
      </c>
      <c r="E62" t="s">
        <v>329</v>
      </c>
      <c r="F62" s="3" t="s">
        <v>329</v>
      </c>
      <c r="G62" s="3" t="s">
        <v>212</v>
      </c>
      <c r="H62" s="3" t="s">
        <v>147</v>
      </c>
      <c r="I62" s="3" t="s">
        <v>96</v>
      </c>
      <c r="J62" s="3" t="s">
        <v>96</v>
      </c>
      <c r="O62" s="5">
        <v>459000</v>
      </c>
      <c r="P62" s="3">
        <v>595</v>
      </c>
      <c r="Q62" s="3" t="s">
        <v>330</v>
      </c>
      <c r="R62" s="3" t="s">
        <v>115</v>
      </c>
      <c r="S62" s="9">
        <v>284.25</v>
      </c>
      <c r="T62" s="9">
        <f t="shared" si="4"/>
        <v>2.0932277924362359</v>
      </c>
      <c r="U62" s="8">
        <v>3212.67</v>
      </c>
      <c r="W62" s="8">
        <v>650</v>
      </c>
      <c r="Z62" s="8">
        <v>4987.57</v>
      </c>
      <c r="AD62" s="8">
        <v>8700</v>
      </c>
      <c r="AE62" s="8">
        <v>80</v>
      </c>
      <c r="AG62" s="8">
        <v>40</v>
      </c>
      <c r="AI62" s="8">
        <v>94853.32</v>
      </c>
      <c r="AJ62" s="8">
        <v>15900.02</v>
      </c>
      <c r="AK62" s="8">
        <v>584</v>
      </c>
      <c r="AN62" s="8">
        <v>45</v>
      </c>
      <c r="AQ62" s="8">
        <v>2400</v>
      </c>
      <c r="AS62" s="8">
        <v>1476.25</v>
      </c>
      <c r="AU62" s="8">
        <v>71271</v>
      </c>
      <c r="AX62" s="8">
        <v>-22817.4</v>
      </c>
      <c r="AZ62" s="8">
        <v>92611.199999999997</v>
      </c>
      <c r="BA62" s="8">
        <v>2700</v>
      </c>
      <c r="BB62" s="8">
        <v>795.38</v>
      </c>
      <c r="BC62" s="8">
        <v>6458.97</v>
      </c>
      <c r="BE62" s="8">
        <v>14738.11</v>
      </c>
      <c r="BL62" s="8">
        <f t="shared" si="5"/>
        <v>298686.08999999997</v>
      </c>
      <c r="BM62" s="8">
        <f t="shared" si="6"/>
        <v>17670.239999999998</v>
      </c>
      <c r="BN62" s="8">
        <f t="shared" si="7"/>
        <v>167562.51</v>
      </c>
    </row>
    <row r="63" spans="1:66" x14ac:dyDescent="0.25">
      <c r="A63" s="3" t="s">
        <v>331</v>
      </c>
      <c r="B63" s="3" t="s">
        <v>332</v>
      </c>
      <c r="C63" s="3" t="s">
        <v>190</v>
      </c>
      <c r="D63" s="3" t="s">
        <v>93</v>
      </c>
      <c r="E63" t="s">
        <v>329</v>
      </c>
      <c r="F63" s="3" t="s">
        <v>329</v>
      </c>
      <c r="G63" s="3" t="s">
        <v>212</v>
      </c>
      <c r="H63" s="3" t="s">
        <v>147</v>
      </c>
      <c r="I63" s="3" t="s">
        <v>96</v>
      </c>
      <c r="J63" s="3" t="s">
        <v>96</v>
      </c>
      <c r="O63" s="5">
        <v>745000</v>
      </c>
      <c r="P63" s="3">
        <v>685</v>
      </c>
      <c r="Q63" s="4">
        <v>45523</v>
      </c>
      <c r="R63" s="3" t="s">
        <v>115</v>
      </c>
      <c r="S63" s="9">
        <v>360.75</v>
      </c>
      <c r="T63" s="9">
        <f t="shared" si="4"/>
        <v>1.8988218988218988</v>
      </c>
      <c r="U63" s="8">
        <v>634.4</v>
      </c>
      <c r="W63" s="8">
        <v>866.82</v>
      </c>
      <c r="Z63" s="8">
        <v>5362.91</v>
      </c>
      <c r="AD63" s="8">
        <v>10275</v>
      </c>
      <c r="AE63" s="8">
        <v>231.31</v>
      </c>
      <c r="AG63" s="8">
        <v>20</v>
      </c>
      <c r="AI63" s="8">
        <v>119564.71</v>
      </c>
      <c r="AJ63" s="8">
        <v>25511.15</v>
      </c>
      <c r="AK63" s="8">
        <v>4820.26</v>
      </c>
      <c r="AL63" s="8">
        <v>180</v>
      </c>
      <c r="AN63" s="8">
        <v>437</v>
      </c>
      <c r="AP63" s="8">
        <v>123</v>
      </c>
      <c r="AQ63" s="8">
        <v>1867.92</v>
      </c>
      <c r="AR63" s="8">
        <v>832</v>
      </c>
      <c r="AS63" s="8">
        <v>6283.32</v>
      </c>
      <c r="AU63" s="8">
        <v>116194.2</v>
      </c>
      <c r="AX63" s="8">
        <v>13810.8</v>
      </c>
      <c r="AZ63" s="8">
        <v>36142.71</v>
      </c>
      <c r="BA63" s="8">
        <v>5177.08</v>
      </c>
      <c r="BB63" s="8">
        <v>534.02</v>
      </c>
      <c r="BC63" s="8">
        <v>5951</v>
      </c>
      <c r="BD63" s="8">
        <v>16200</v>
      </c>
      <c r="BE63" s="8">
        <v>15360.98</v>
      </c>
      <c r="BF63" s="8">
        <v>375</v>
      </c>
      <c r="BH63" s="8">
        <v>392</v>
      </c>
      <c r="BL63" s="8">
        <f t="shared" si="5"/>
        <v>387147.59000000008</v>
      </c>
      <c r="BM63" s="8">
        <f t="shared" si="6"/>
        <v>17390.440000000002</v>
      </c>
      <c r="BN63" s="8">
        <f t="shared" si="7"/>
        <v>203304.21</v>
      </c>
    </row>
    <row r="64" spans="1:66" x14ac:dyDescent="0.25">
      <c r="A64" s="3" t="s">
        <v>333</v>
      </c>
      <c r="B64" s="3" t="s">
        <v>334</v>
      </c>
      <c r="C64" s="3" t="s">
        <v>335</v>
      </c>
      <c r="D64" s="3" t="s">
        <v>79</v>
      </c>
      <c r="I64" s="3" t="s">
        <v>80</v>
      </c>
      <c r="J64" s="3" t="s">
        <v>81</v>
      </c>
      <c r="K64" s="3" t="s">
        <v>336</v>
      </c>
      <c r="L64" s="3" t="s">
        <v>73</v>
      </c>
      <c r="M64" s="3" t="s">
        <v>74</v>
      </c>
      <c r="N64" s="3" t="s">
        <v>336</v>
      </c>
      <c r="O64" s="5">
        <v>2605000</v>
      </c>
      <c r="P64" s="3">
        <v>4280</v>
      </c>
      <c r="Q64" s="4">
        <v>45647</v>
      </c>
      <c r="R64" s="3" t="s">
        <v>337</v>
      </c>
      <c r="S64" s="9">
        <v>669.375</v>
      </c>
      <c r="T64" s="9">
        <f t="shared" si="4"/>
        <v>6.3940242763772179</v>
      </c>
      <c r="U64" s="8">
        <v>4648.51</v>
      </c>
      <c r="V64" s="8">
        <v>6192.94</v>
      </c>
      <c r="W64" s="8">
        <v>23351.439999999999</v>
      </c>
      <c r="X64" s="8">
        <v>87000</v>
      </c>
      <c r="Z64" s="8">
        <v>13170.35</v>
      </c>
      <c r="AA64" s="8">
        <v>1003.33</v>
      </c>
      <c r="AB64" s="8">
        <v>12</v>
      </c>
      <c r="AE64" s="8">
        <v>14208</v>
      </c>
      <c r="AH64" s="27">
        <v>20150</v>
      </c>
      <c r="AI64" s="8">
        <v>234964.62</v>
      </c>
      <c r="AJ64" s="8">
        <v>42331.06</v>
      </c>
      <c r="AK64" s="8">
        <v>143966.07999999999</v>
      </c>
      <c r="AS64" s="8">
        <v>18234</v>
      </c>
      <c r="AU64" s="8">
        <v>360</v>
      </c>
      <c r="AV64" s="8">
        <v>347983.08</v>
      </c>
      <c r="AZ64" s="8">
        <v>51005.890000000007</v>
      </c>
      <c r="BA64" s="8">
        <v>82939.59</v>
      </c>
      <c r="BB64" s="8">
        <v>543.63</v>
      </c>
      <c r="BC64" s="8">
        <v>7801.95</v>
      </c>
      <c r="BE64" s="8">
        <v>81180.55</v>
      </c>
      <c r="BH64" s="8">
        <v>363741.18</v>
      </c>
      <c r="BJ64" s="8">
        <v>19509.419999999998</v>
      </c>
      <c r="BL64" s="8">
        <f t="shared" si="5"/>
        <v>1564297.6199999996</v>
      </c>
      <c r="BM64" s="8">
        <f t="shared" si="6"/>
        <v>62586.569999999978</v>
      </c>
      <c r="BN64" s="8">
        <f t="shared" si="7"/>
        <v>1034325.7799999999</v>
      </c>
    </row>
    <row r="65" spans="1:66" x14ac:dyDescent="0.25">
      <c r="A65" s="3" t="s">
        <v>338</v>
      </c>
      <c r="B65" s="3" t="s">
        <v>293</v>
      </c>
      <c r="C65" s="3" t="s">
        <v>256</v>
      </c>
      <c r="D65" s="3" t="s">
        <v>126</v>
      </c>
      <c r="O65" s="5">
        <v>114000</v>
      </c>
      <c r="P65" s="3">
        <v>79</v>
      </c>
      <c r="Q65" s="3" t="s">
        <v>339</v>
      </c>
      <c r="R65" s="3" t="s">
        <v>285</v>
      </c>
      <c r="S65" s="9">
        <v>81.5</v>
      </c>
      <c r="T65" s="9">
        <f t="shared" si="4"/>
        <v>0.96932515337423308</v>
      </c>
      <c r="U65" s="8">
        <v>2069.38</v>
      </c>
      <c r="V65" s="8">
        <v>2357.04</v>
      </c>
      <c r="W65" s="8">
        <v>234.55</v>
      </c>
      <c r="Z65" s="8">
        <v>2802.16</v>
      </c>
      <c r="AE65" s="8">
        <v>90</v>
      </c>
      <c r="AI65" s="8">
        <v>28458.94</v>
      </c>
      <c r="AJ65" s="8">
        <v>4134.5600000000004</v>
      </c>
      <c r="AK65" s="8">
        <v>520.46</v>
      </c>
      <c r="AO65" s="8">
        <v>8918.39</v>
      </c>
      <c r="AP65" s="8">
        <v>1052</v>
      </c>
      <c r="AQ65" s="8">
        <v>2689.05</v>
      </c>
      <c r="AS65" s="8">
        <v>3025.03</v>
      </c>
      <c r="AY65" s="8">
        <v>1389.6</v>
      </c>
      <c r="AZ65" s="8">
        <v>301.39999999999998</v>
      </c>
      <c r="BA65" s="8"/>
      <c r="BB65" s="8">
        <v>1520.99</v>
      </c>
      <c r="BC65" s="8">
        <v>1073.8499999999999</v>
      </c>
      <c r="BE65" s="8">
        <v>1598.91</v>
      </c>
      <c r="BL65" s="8">
        <f t="shared" si="5"/>
        <v>62236.31</v>
      </c>
      <c r="BM65" s="8">
        <f t="shared" si="6"/>
        <v>7553.13</v>
      </c>
      <c r="BN65" s="8">
        <f t="shared" si="7"/>
        <v>22089.68</v>
      </c>
    </row>
    <row r="66" spans="1:66" x14ac:dyDescent="0.25">
      <c r="A66" s="3" t="s">
        <v>340</v>
      </c>
      <c r="B66" s="3" t="s">
        <v>341</v>
      </c>
      <c r="C66" s="3" t="s">
        <v>342</v>
      </c>
      <c r="D66" s="3" t="s">
        <v>79</v>
      </c>
      <c r="I66" s="3" t="s">
        <v>70</v>
      </c>
      <c r="J66" s="3" t="s">
        <v>71</v>
      </c>
      <c r="K66" s="3" t="s">
        <v>72</v>
      </c>
      <c r="L66" s="3" t="s">
        <v>73</v>
      </c>
      <c r="M66" s="3" t="s">
        <v>74</v>
      </c>
      <c r="N66" s="3" t="s">
        <v>72</v>
      </c>
      <c r="O66" s="7">
        <v>109260</v>
      </c>
      <c r="P66" s="3">
        <v>146</v>
      </c>
      <c r="Q66" s="7" t="s">
        <v>343</v>
      </c>
      <c r="R66" s="7" t="s">
        <v>128</v>
      </c>
      <c r="S66" s="7">
        <v>41.625</v>
      </c>
      <c r="T66" s="9">
        <f t="shared" ref="T66:T97" si="8">P66/S66</f>
        <v>3.5075075075075075</v>
      </c>
      <c r="U66" s="7">
        <v>1399.58</v>
      </c>
      <c r="W66" s="7">
        <v>173.55</v>
      </c>
      <c r="Z66" s="7">
        <v>463.71</v>
      </c>
      <c r="AD66" s="7">
        <v>1280</v>
      </c>
      <c r="AE66" s="7">
        <v>120</v>
      </c>
      <c r="AG66" s="7">
        <v>100</v>
      </c>
      <c r="AI66" s="7">
        <v>14397.06</v>
      </c>
      <c r="AJ66" s="7">
        <v>2338.69</v>
      </c>
      <c r="AK66" s="7">
        <v>2708.79</v>
      </c>
      <c r="AP66" s="7">
        <v>116</v>
      </c>
      <c r="AQ66" s="7">
        <v>230</v>
      </c>
      <c r="AS66" s="7">
        <v>1499</v>
      </c>
      <c r="AV66" s="7">
        <v>514.29999999999995</v>
      </c>
      <c r="AZ66" s="7">
        <v>5387.5</v>
      </c>
      <c r="BC66" s="7">
        <v>695.75</v>
      </c>
      <c r="BE66" s="7">
        <v>2959.04</v>
      </c>
      <c r="BF66" s="7">
        <v>9728</v>
      </c>
      <c r="BH66" s="7">
        <v>11843</v>
      </c>
      <c r="BJ66" s="7">
        <v>880</v>
      </c>
      <c r="BL66" s="8">
        <f t="shared" ref="BL66:BL97" si="9">SUM(U66:BK66)</f>
        <v>56833.97</v>
      </c>
      <c r="BM66" s="8">
        <f t="shared" ref="BM66:BM97" si="10">SUM(U66:AG66)-X66</f>
        <v>3536.84</v>
      </c>
      <c r="BN66" s="8">
        <f t="shared" ref="BN66:BN97" si="11">SUM(AK66:BJ66)-BA66-BD66</f>
        <v>36561.380000000005</v>
      </c>
    </row>
    <row r="67" spans="1:66" x14ac:dyDescent="0.25">
      <c r="A67" s="3" t="s">
        <v>344</v>
      </c>
      <c r="B67" s="3" t="s">
        <v>345</v>
      </c>
      <c r="C67" s="3" t="s">
        <v>346</v>
      </c>
      <c r="D67" s="3" t="s">
        <v>79</v>
      </c>
      <c r="G67" s="3" t="s">
        <v>204</v>
      </c>
      <c r="H67" s="3" t="s">
        <v>336</v>
      </c>
      <c r="L67" s="3" t="s">
        <v>73</v>
      </c>
      <c r="M67" s="3" t="s">
        <v>74</v>
      </c>
      <c r="N67" s="3" t="s">
        <v>336</v>
      </c>
      <c r="O67" s="5">
        <v>628200</v>
      </c>
      <c r="P67" s="3">
        <v>726</v>
      </c>
      <c r="Q67" s="3" t="s">
        <v>347</v>
      </c>
      <c r="R67" s="3" t="s">
        <v>115</v>
      </c>
      <c r="S67" s="9">
        <v>269.75</v>
      </c>
      <c r="T67" s="9">
        <f t="shared" si="8"/>
        <v>2.6913809082483779</v>
      </c>
      <c r="U67" s="8">
        <v>4342.3999999999996</v>
      </c>
      <c r="W67" s="8">
        <v>3183.34</v>
      </c>
      <c r="Z67" s="8">
        <v>3278.69</v>
      </c>
      <c r="AD67" s="8">
        <v>3470</v>
      </c>
      <c r="AE67" s="8">
        <v>3045</v>
      </c>
      <c r="AI67" s="8">
        <v>107675.43</v>
      </c>
      <c r="AJ67" s="8">
        <v>10304.68</v>
      </c>
      <c r="AK67" s="8">
        <v>23366.61</v>
      </c>
      <c r="AQ67" s="8">
        <v>140</v>
      </c>
      <c r="AS67" s="8">
        <v>17538.509999999998</v>
      </c>
      <c r="AV67" s="8">
        <v>60615.7</v>
      </c>
      <c r="AZ67" s="8">
        <v>23406.25</v>
      </c>
      <c r="BA67" s="8">
        <v>519.27</v>
      </c>
      <c r="BB67" s="8">
        <v>480.49</v>
      </c>
      <c r="BC67" s="8">
        <v>5788.99</v>
      </c>
      <c r="BD67" s="8">
        <v>7070</v>
      </c>
      <c r="BE67" s="8">
        <v>18399.259999999998</v>
      </c>
      <c r="BF67" s="8">
        <v>1800.9</v>
      </c>
      <c r="BH67" s="8">
        <v>59614</v>
      </c>
      <c r="BJ67" s="8">
        <v>18755.5</v>
      </c>
      <c r="BL67" s="8">
        <f t="shared" si="9"/>
        <v>372795.02</v>
      </c>
      <c r="BM67" s="8">
        <f t="shared" si="10"/>
        <v>17319.43</v>
      </c>
      <c r="BN67" s="8">
        <f t="shared" si="11"/>
        <v>229906.21000000002</v>
      </c>
    </row>
    <row r="68" spans="1:66" x14ac:dyDescent="0.25">
      <c r="A68" s="3" t="s">
        <v>348</v>
      </c>
      <c r="B68" s="3" t="s">
        <v>349</v>
      </c>
      <c r="C68" s="3" t="s">
        <v>346</v>
      </c>
      <c r="D68" s="3" t="s">
        <v>79</v>
      </c>
      <c r="G68" s="3" t="s">
        <v>204</v>
      </c>
      <c r="H68" s="3" t="s">
        <v>336</v>
      </c>
      <c r="L68" s="3" t="s">
        <v>73</v>
      </c>
      <c r="M68" s="3" t="s">
        <v>74</v>
      </c>
      <c r="N68" s="3" t="s">
        <v>336</v>
      </c>
      <c r="O68" s="5">
        <v>879200</v>
      </c>
      <c r="P68" s="3">
        <v>835</v>
      </c>
      <c r="Q68" s="3" t="s">
        <v>350</v>
      </c>
      <c r="R68" s="3" t="s">
        <v>98</v>
      </c>
      <c r="S68" s="9">
        <v>377.4375</v>
      </c>
      <c r="T68" s="9">
        <f t="shared" si="8"/>
        <v>2.2122868024507367</v>
      </c>
      <c r="U68" s="8">
        <v>4958.2</v>
      </c>
      <c r="V68" s="8">
        <v>2962.17</v>
      </c>
      <c r="W68" s="8">
        <v>4725.05</v>
      </c>
      <c r="Z68" s="8">
        <v>4074.27</v>
      </c>
      <c r="AD68" s="8">
        <v>3965</v>
      </c>
      <c r="AE68" s="8">
        <v>69050.42</v>
      </c>
      <c r="AI68" s="8">
        <v>145836.67000000001</v>
      </c>
      <c r="AJ68" s="8">
        <v>18358.89</v>
      </c>
      <c r="AK68" s="8">
        <v>41306.47</v>
      </c>
      <c r="AQ68" s="8">
        <v>344</v>
      </c>
      <c r="AS68" s="8">
        <v>20623.95</v>
      </c>
      <c r="AV68" s="8">
        <v>69957.440000000002</v>
      </c>
      <c r="AZ68" s="8">
        <v>34174.19</v>
      </c>
      <c r="BA68" s="8">
        <v>490</v>
      </c>
      <c r="BB68" s="8">
        <v>633.77</v>
      </c>
      <c r="BC68" s="8">
        <v>3218.989999999998</v>
      </c>
      <c r="BD68" s="8">
        <v>36340</v>
      </c>
      <c r="BE68" s="8">
        <v>25927.15</v>
      </c>
      <c r="BF68" s="8">
        <v>2100</v>
      </c>
      <c r="BH68" s="8">
        <v>69792</v>
      </c>
      <c r="BJ68" s="8">
        <v>24380.400000000001</v>
      </c>
      <c r="BK68" s="8">
        <v>12734</v>
      </c>
      <c r="BL68" s="8">
        <f t="shared" si="9"/>
        <v>595953.03000000014</v>
      </c>
      <c r="BM68" s="8">
        <f t="shared" si="10"/>
        <v>89735.11</v>
      </c>
      <c r="BN68" s="8">
        <f t="shared" si="11"/>
        <v>292458.36</v>
      </c>
    </row>
    <row r="69" spans="1:66" x14ac:dyDescent="0.25">
      <c r="A69" s="3" t="s">
        <v>351</v>
      </c>
      <c r="B69" s="3" t="s">
        <v>352</v>
      </c>
      <c r="C69" s="3" t="s">
        <v>68</v>
      </c>
      <c r="D69" s="3" t="s">
        <v>79</v>
      </c>
      <c r="L69" s="3" t="s">
        <v>171</v>
      </c>
      <c r="M69" s="3" t="s">
        <v>172</v>
      </c>
      <c r="N69" s="3" t="s">
        <v>72</v>
      </c>
      <c r="O69" s="5">
        <v>363700</v>
      </c>
      <c r="P69" s="3">
        <v>523</v>
      </c>
      <c r="Q69" s="3" t="s">
        <v>353</v>
      </c>
      <c r="R69" s="3" t="s">
        <v>115</v>
      </c>
      <c r="S69" s="9">
        <v>137.9375</v>
      </c>
      <c r="T69" s="9">
        <f t="shared" si="8"/>
        <v>3.7915722700498415</v>
      </c>
      <c r="U69" s="8">
        <v>2763.61</v>
      </c>
      <c r="V69" s="8">
        <v>1876.83</v>
      </c>
      <c r="W69" s="8">
        <v>559.1</v>
      </c>
      <c r="Z69" s="8">
        <v>1524.97</v>
      </c>
      <c r="AD69" s="8">
        <v>5040</v>
      </c>
      <c r="AE69" s="8">
        <v>1750</v>
      </c>
      <c r="AI69" s="8">
        <v>50068.05</v>
      </c>
      <c r="AJ69" s="8">
        <v>5250.58</v>
      </c>
      <c r="AK69" s="8">
        <v>5076.45</v>
      </c>
      <c r="AQ69" s="8">
        <v>290.51</v>
      </c>
      <c r="AS69" s="8">
        <v>15791.73</v>
      </c>
      <c r="AV69" s="8">
        <v>572.4</v>
      </c>
      <c r="AZ69" s="8">
        <v>3184.5</v>
      </c>
      <c r="BA69" s="8">
        <v>1400</v>
      </c>
      <c r="BB69" s="8">
        <v>971</v>
      </c>
      <c r="BC69" s="8">
        <v>1787.58</v>
      </c>
      <c r="BE69" s="8">
        <v>9863.01</v>
      </c>
      <c r="BF69" s="8">
        <v>800</v>
      </c>
      <c r="BH69" s="8">
        <v>4554</v>
      </c>
      <c r="BI69" s="8">
        <v>69525</v>
      </c>
      <c r="BJ69" s="8">
        <v>2380</v>
      </c>
      <c r="BL69" s="8">
        <f t="shared" si="9"/>
        <v>185029.31999999998</v>
      </c>
      <c r="BM69" s="8">
        <f t="shared" si="10"/>
        <v>13514.510000000002</v>
      </c>
      <c r="BN69" s="8">
        <f t="shared" si="11"/>
        <v>114796.18</v>
      </c>
    </row>
    <row r="70" spans="1:66" x14ac:dyDescent="0.25">
      <c r="A70" s="3" t="s">
        <v>354</v>
      </c>
      <c r="B70" s="3" t="s">
        <v>355</v>
      </c>
      <c r="C70" s="3" t="s">
        <v>356</v>
      </c>
      <c r="D70" s="3" t="s">
        <v>93</v>
      </c>
      <c r="E70" t="s">
        <v>94</v>
      </c>
      <c r="F70" s="3" t="s">
        <v>94</v>
      </c>
      <c r="G70" s="3" t="s">
        <v>95</v>
      </c>
      <c r="H70" s="3" t="s">
        <v>96</v>
      </c>
      <c r="I70" s="3" t="s">
        <v>96</v>
      </c>
      <c r="O70" s="5">
        <v>262852</v>
      </c>
      <c r="P70" s="3">
        <v>350</v>
      </c>
      <c r="Q70" s="3" t="s">
        <v>357</v>
      </c>
      <c r="R70" s="3" t="s">
        <v>115</v>
      </c>
      <c r="S70" s="9">
        <v>297.9375</v>
      </c>
      <c r="T70" s="9">
        <f t="shared" si="8"/>
        <v>1.1747430249632893</v>
      </c>
      <c r="U70" s="8">
        <v>5634.14</v>
      </c>
      <c r="V70" s="8">
        <v>2777.71</v>
      </c>
      <c r="W70" s="8">
        <v>1262.8599999999999</v>
      </c>
      <c r="Z70" s="8">
        <v>4222.66</v>
      </c>
      <c r="AD70" s="8">
        <v>4125</v>
      </c>
      <c r="AE70" s="8">
        <v>11585</v>
      </c>
      <c r="AI70" s="8">
        <v>99897.37</v>
      </c>
      <c r="AJ70" s="8">
        <v>14982.42</v>
      </c>
      <c r="AL70" s="8">
        <v>4891.2</v>
      </c>
      <c r="AN70" s="8">
        <v>6525.2</v>
      </c>
      <c r="AS70" s="8">
        <v>-230</v>
      </c>
      <c r="AU70" s="8">
        <v>49511.25</v>
      </c>
      <c r="AV70" s="8">
        <v>6900.38</v>
      </c>
      <c r="AX70" s="8">
        <v>1000</v>
      </c>
      <c r="AZ70" s="8">
        <v>23696.5</v>
      </c>
      <c r="BA70" s="8"/>
      <c r="BB70" s="8">
        <v>778.47</v>
      </c>
      <c r="BC70" s="8">
        <v>5175.99</v>
      </c>
      <c r="BE70" s="8">
        <v>10170.049999999999</v>
      </c>
      <c r="BF70" s="8">
        <v>3645</v>
      </c>
      <c r="BL70" s="8">
        <f t="shared" si="9"/>
        <v>256551.2</v>
      </c>
      <c r="BM70" s="8">
        <f t="shared" si="10"/>
        <v>29607.370000000003</v>
      </c>
      <c r="BN70" s="8">
        <f t="shared" si="11"/>
        <v>112064.04000000001</v>
      </c>
    </row>
    <row r="71" spans="1:66" x14ac:dyDescent="0.25">
      <c r="A71" s="3" t="s">
        <v>358</v>
      </c>
      <c r="B71" s="3" t="s">
        <v>359</v>
      </c>
      <c r="C71" s="3" t="s">
        <v>268</v>
      </c>
      <c r="D71" s="3" t="s">
        <v>69</v>
      </c>
      <c r="F71" s="3">
        <v>0.5</v>
      </c>
      <c r="L71" s="3" t="s">
        <v>228</v>
      </c>
      <c r="M71" s="3" t="s">
        <v>172</v>
      </c>
      <c r="N71" s="3" t="s">
        <v>173</v>
      </c>
      <c r="O71" s="5">
        <v>470000</v>
      </c>
      <c r="P71" s="3">
        <v>338</v>
      </c>
      <c r="Q71" s="3" t="s">
        <v>360</v>
      </c>
      <c r="R71" s="3" t="s">
        <v>337</v>
      </c>
      <c r="S71" s="9">
        <v>264.75</v>
      </c>
      <c r="T71" s="9">
        <f t="shared" si="8"/>
        <v>1.2766761095372994</v>
      </c>
      <c r="U71" s="8">
        <v>3202.47</v>
      </c>
      <c r="V71" s="8">
        <v>2849.08</v>
      </c>
      <c r="W71" s="8">
        <v>760</v>
      </c>
      <c r="Z71" s="8">
        <v>5489.91</v>
      </c>
      <c r="AE71" s="8">
        <v>12511</v>
      </c>
      <c r="AH71" s="27">
        <v>19800</v>
      </c>
      <c r="AI71" s="8">
        <v>101683.8</v>
      </c>
      <c r="AJ71" s="8">
        <v>13227.69</v>
      </c>
      <c r="AK71" s="8">
        <v>1385.89</v>
      </c>
      <c r="AS71" s="8">
        <v>7274.46</v>
      </c>
      <c r="AV71" s="8">
        <v>180.9</v>
      </c>
      <c r="AZ71" s="8">
        <v>73479.850000000006</v>
      </c>
      <c r="BA71" s="8"/>
      <c r="BB71" s="8">
        <v>184.84</v>
      </c>
      <c r="BC71" s="8">
        <v>3679.39</v>
      </c>
      <c r="BE71" s="8">
        <v>12197.6</v>
      </c>
      <c r="BH71" s="8">
        <v>8646.3700000000008</v>
      </c>
      <c r="BI71" s="8">
        <v>64600.92</v>
      </c>
      <c r="BJ71" s="8">
        <v>9657.3799999999992</v>
      </c>
      <c r="BL71" s="8">
        <f t="shared" si="9"/>
        <v>340811.55000000005</v>
      </c>
      <c r="BM71" s="8">
        <f t="shared" si="10"/>
        <v>24812.46</v>
      </c>
      <c r="BN71" s="8">
        <f t="shared" si="11"/>
        <v>181287.6</v>
      </c>
    </row>
    <row r="72" spans="1:66" x14ac:dyDescent="0.25">
      <c r="A72" s="3" t="s">
        <v>361</v>
      </c>
      <c r="B72" s="3" t="s">
        <v>362</v>
      </c>
      <c r="C72" s="3" t="s">
        <v>153</v>
      </c>
      <c r="D72" s="3" t="s">
        <v>93</v>
      </c>
      <c r="E72" t="s">
        <v>146</v>
      </c>
      <c r="F72" s="3" t="s">
        <v>146</v>
      </c>
      <c r="G72" s="3" t="s">
        <v>147</v>
      </c>
      <c r="H72" s="3" t="s">
        <v>96</v>
      </c>
      <c r="I72" s="3" t="s">
        <v>96</v>
      </c>
      <c r="O72" s="5">
        <v>379500</v>
      </c>
      <c r="P72" s="3">
        <v>780</v>
      </c>
      <c r="Q72" s="3" t="s">
        <v>363</v>
      </c>
      <c r="R72" s="3" t="s">
        <v>98</v>
      </c>
      <c r="S72" s="9">
        <v>374.4375</v>
      </c>
      <c r="T72" s="9">
        <f t="shared" si="8"/>
        <v>2.083124687030546</v>
      </c>
      <c r="W72" s="8">
        <v>3780.26</v>
      </c>
      <c r="Z72" s="8">
        <v>4527.8500000000004</v>
      </c>
      <c r="AB72" s="8">
        <v>42.02</v>
      </c>
      <c r="AD72" s="8">
        <v>5030</v>
      </c>
      <c r="AE72" s="8">
        <v>1510</v>
      </c>
      <c r="AI72" s="8">
        <v>120901.08</v>
      </c>
      <c r="AJ72" s="8">
        <v>26950.25</v>
      </c>
      <c r="AK72" s="8">
        <v>984.8</v>
      </c>
      <c r="AN72" s="8">
        <v>595</v>
      </c>
      <c r="AQ72" s="8">
        <v>238.64</v>
      </c>
      <c r="AS72" s="8">
        <v>7567</v>
      </c>
      <c r="AU72" s="8">
        <v>86265.3</v>
      </c>
      <c r="AZ72" s="8">
        <v>28508.14</v>
      </c>
      <c r="BA72" s="8"/>
      <c r="BB72" s="8">
        <v>157.08000000000001</v>
      </c>
      <c r="BC72" s="8">
        <v>4246.9699999999993</v>
      </c>
      <c r="BD72" s="8">
        <v>7530</v>
      </c>
      <c r="BE72" s="8">
        <v>11217.26</v>
      </c>
      <c r="BL72" s="8">
        <f t="shared" si="9"/>
        <v>310051.65000000002</v>
      </c>
      <c r="BM72" s="8">
        <f t="shared" si="10"/>
        <v>14890.130000000001</v>
      </c>
      <c r="BN72" s="8">
        <f t="shared" si="11"/>
        <v>139780.19</v>
      </c>
    </row>
    <row r="73" spans="1:66" x14ac:dyDescent="0.25">
      <c r="A73" s="3" t="s">
        <v>364</v>
      </c>
      <c r="B73" s="3" t="s">
        <v>365</v>
      </c>
      <c r="C73" s="3" t="s">
        <v>366</v>
      </c>
      <c r="D73" s="3" t="s">
        <v>126</v>
      </c>
      <c r="O73" s="5">
        <v>244860</v>
      </c>
      <c r="P73" s="3">
        <v>41</v>
      </c>
      <c r="Q73" s="3" t="s">
        <v>367</v>
      </c>
      <c r="R73" s="3" t="s">
        <v>306</v>
      </c>
      <c r="S73" s="9">
        <v>80.125</v>
      </c>
      <c r="T73" s="9">
        <f t="shared" si="8"/>
        <v>0.51170046801872071</v>
      </c>
      <c r="U73" s="8">
        <v>669.9</v>
      </c>
      <c r="V73" s="8">
        <v>630.47</v>
      </c>
      <c r="Z73" s="8">
        <v>1207.71</v>
      </c>
      <c r="AB73" s="8">
        <v>120</v>
      </c>
      <c r="AE73" s="8">
        <v>2693.92</v>
      </c>
      <c r="AI73" s="8">
        <v>33848.92</v>
      </c>
      <c r="AJ73" s="8">
        <v>5593.92</v>
      </c>
      <c r="AK73" s="8">
        <v>1255.05</v>
      </c>
      <c r="AL73" s="8">
        <v>6982.92</v>
      </c>
      <c r="AN73" s="8">
        <v>5405.7</v>
      </c>
      <c r="AQ73" s="8">
        <v>45</v>
      </c>
      <c r="AS73" s="8">
        <v>1267.5</v>
      </c>
      <c r="AU73" s="8">
        <v>261.75</v>
      </c>
      <c r="AV73" s="8">
        <v>2488.4</v>
      </c>
      <c r="AZ73" s="8">
        <v>9029.39</v>
      </c>
      <c r="BA73" s="8"/>
      <c r="BB73" s="8">
        <v>43.58</v>
      </c>
      <c r="BC73" s="8">
        <v>1564</v>
      </c>
      <c r="BE73" s="8">
        <v>3975.4</v>
      </c>
      <c r="BF73" s="8">
        <v>3110.4</v>
      </c>
      <c r="BI73" s="8">
        <v>242.49</v>
      </c>
      <c r="BJ73" s="8">
        <v>2823.12</v>
      </c>
      <c r="BK73" s="8"/>
      <c r="BL73" s="8">
        <f t="shared" si="9"/>
        <v>83259.539999999979</v>
      </c>
      <c r="BM73" s="8">
        <f t="shared" si="10"/>
        <v>5322</v>
      </c>
      <c r="BN73" s="8">
        <f t="shared" si="11"/>
        <v>38494.700000000004</v>
      </c>
    </row>
    <row r="74" spans="1:66" x14ac:dyDescent="0.25">
      <c r="A74" s="3" t="s">
        <v>368</v>
      </c>
      <c r="B74" s="3" t="s">
        <v>369</v>
      </c>
      <c r="C74" s="3" t="s">
        <v>68</v>
      </c>
      <c r="D74" s="3" t="s">
        <v>79</v>
      </c>
      <c r="I74" s="3" t="s">
        <v>370</v>
      </c>
      <c r="J74" s="3" t="s">
        <v>81</v>
      </c>
      <c r="K74" s="3" t="s">
        <v>72</v>
      </c>
      <c r="L74" s="3" t="s">
        <v>73</v>
      </c>
      <c r="M74" s="3" t="s">
        <v>74</v>
      </c>
      <c r="N74" s="3" t="s">
        <v>72</v>
      </c>
      <c r="O74" s="5">
        <v>370000</v>
      </c>
      <c r="P74" s="3">
        <v>640</v>
      </c>
      <c r="Q74" s="3" t="s">
        <v>371</v>
      </c>
      <c r="R74" s="3" t="s">
        <v>372</v>
      </c>
      <c r="S74" s="9">
        <v>199.625</v>
      </c>
      <c r="T74" s="9">
        <f t="shared" si="8"/>
        <v>3.206011271133375</v>
      </c>
      <c r="U74" s="8">
        <v>3008.41</v>
      </c>
      <c r="V74" s="8">
        <v>7490.12</v>
      </c>
      <c r="W74" s="8">
        <v>1437.35</v>
      </c>
      <c r="Z74" s="8">
        <v>2711.54</v>
      </c>
      <c r="AE74" s="8">
        <v>9309.5</v>
      </c>
      <c r="AI74" s="8">
        <v>79448.789999999994</v>
      </c>
      <c r="AJ74" s="8">
        <v>5726.98</v>
      </c>
      <c r="AK74" s="8">
        <v>26717.48</v>
      </c>
      <c r="AQ74" s="8">
        <v>1402.91</v>
      </c>
      <c r="AS74" s="8">
        <v>22008.240000000002</v>
      </c>
      <c r="AV74" s="8">
        <v>36654.199999999997</v>
      </c>
      <c r="AZ74" s="8">
        <v>6247</v>
      </c>
      <c r="BA74" s="8">
        <v>16978</v>
      </c>
      <c r="BB74" s="8">
        <v>518.6</v>
      </c>
      <c r="BC74" s="8">
        <v>2913.82</v>
      </c>
      <c r="BE74" s="8">
        <v>11864.73</v>
      </c>
      <c r="BH74" s="8">
        <v>61065</v>
      </c>
      <c r="BJ74" s="8">
        <v>438</v>
      </c>
      <c r="BL74" s="8">
        <f t="shared" si="9"/>
        <v>295940.67</v>
      </c>
      <c r="BM74" s="8">
        <f t="shared" si="10"/>
        <v>23956.92</v>
      </c>
      <c r="BN74" s="8">
        <f t="shared" si="11"/>
        <v>169829.98</v>
      </c>
    </row>
    <row r="75" spans="1:66" x14ac:dyDescent="0.25">
      <c r="A75" s="3" t="s">
        <v>373</v>
      </c>
      <c r="B75" s="3" t="s">
        <v>249</v>
      </c>
      <c r="C75" s="3" t="s">
        <v>240</v>
      </c>
      <c r="D75" s="3" t="s">
        <v>79</v>
      </c>
      <c r="L75" s="3" t="s">
        <v>228</v>
      </c>
      <c r="M75" s="3" t="s">
        <v>172</v>
      </c>
      <c r="N75" s="3" t="s">
        <v>173</v>
      </c>
      <c r="O75" s="5">
        <v>262000</v>
      </c>
      <c r="P75" s="3">
        <v>67</v>
      </c>
      <c r="Q75" s="3" t="s">
        <v>374</v>
      </c>
      <c r="R75" s="3" t="s">
        <v>115</v>
      </c>
      <c r="S75" s="9">
        <v>174.875</v>
      </c>
      <c r="T75" s="9">
        <f t="shared" si="8"/>
        <v>0.38313080771979985</v>
      </c>
      <c r="U75" s="8">
        <v>3149.36</v>
      </c>
      <c r="W75" s="8">
        <v>380</v>
      </c>
      <c r="Z75" s="8">
        <v>3552.76</v>
      </c>
      <c r="AD75" s="8">
        <v>750</v>
      </c>
      <c r="AE75" s="8">
        <v>1423</v>
      </c>
      <c r="AI75" s="8">
        <v>66189.600000000006</v>
      </c>
      <c r="AJ75" s="8">
        <v>13628.65</v>
      </c>
      <c r="AK75" s="8">
        <v>1123.5</v>
      </c>
      <c r="AQ75" s="8">
        <v>99.43</v>
      </c>
      <c r="AS75" s="8">
        <v>5834.86</v>
      </c>
      <c r="AY75" s="8">
        <v>452</v>
      </c>
      <c r="AZ75" s="8">
        <v>16034.26</v>
      </c>
      <c r="BA75" s="8">
        <v>5569</v>
      </c>
      <c r="BC75" s="8">
        <v>1890</v>
      </c>
      <c r="BD75" s="8">
        <v>990</v>
      </c>
      <c r="BE75" s="8">
        <v>4270.25</v>
      </c>
      <c r="BF75" s="8">
        <v>26</v>
      </c>
      <c r="BH75" s="8">
        <v>7478.51</v>
      </c>
      <c r="BI75" s="8">
        <v>12578.77</v>
      </c>
      <c r="BJ75" s="8">
        <v>1253.44</v>
      </c>
      <c r="BL75" s="8">
        <f t="shared" si="9"/>
        <v>146673.38999999998</v>
      </c>
      <c r="BM75" s="8">
        <f t="shared" si="10"/>
        <v>9255.1200000000008</v>
      </c>
      <c r="BN75" s="8">
        <f t="shared" si="11"/>
        <v>51041.020000000004</v>
      </c>
    </row>
    <row r="76" spans="1:66" x14ac:dyDescent="0.25">
      <c r="A76" s="3" t="s">
        <v>375</v>
      </c>
      <c r="B76" s="3" t="s">
        <v>376</v>
      </c>
      <c r="C76" s="3" t="s">
        <v>233</v>
      </c>
      <c r="D76" s="3" t="s">
        <v>79</v>
      </c>
      <c r="F76" s="11"/>
      <c r="G76" s="11"/>
      <c r="H76" s="11"/>
      <c r="I76" s="11" t="s">
        <v>80</v>
      </c>
      <c r="J76" s="11" t="s">
        <v>81</v>
      </c>
      <c r="K76" s="11" t="s">
        <v>72</v>
      </c>
      <c r="L76" s="11" t="s">
        <v>73</v>
      </c>
      <c r="M76" s="11" t="s">
        <v>74</v>
      </c>
      <c r="N76" s="11" t="s">
        <v>72</v>
      </c>
      <c r="O76" s="5">
        <v>115000</v>
      </c>
      <c r="P76" s="3">
        <v>48</v>
      </c>
      <c r="Q76" s="3" t="s">
        <v>357</v>
      </c>
      <c r="R76" s="3" t="s">
        <v>115</v>
      </c>
      <c r="S76" s="9">
        <v>48.0625</v>
      </c>
      <c r="T76" s="9">
        <f t="shared" si="8"/>
        <v>0.99869960988296491</v>
      </c>
      <c r="U76" s="8">
        <v>75.69</v>
      </c>
      <c r="W76" s="8">
        <v>1074.74</v>
      </c>
      <c r="Z76" s="8">
        <v>670.04</v>
      </c>
      <c r="AA76" s="13">
        <v>633.41999999999996</v>
      </c>
      <c r="AD76" s="8">
        <v>200</v>
      </c>
      <c r="AE76" s="8">
        <v>430.55</v>
      </c>
      <c r="AI76" s="8">
        <v>20408.939999999999</v>
      </c>
      <c r="AJ76" s="8">
        <v>1652.17</v>
      </c>
      <c r="AK76" s="8">
        <v>2531.6999999999998</v>
      </c>
      <c r="AQ76" s="8">
        <v>175</v>
      </c>
      <c r="AS76" s="8">
        <v>2890.66</v>
      </c>
      <c r="AV76" s="8">
        <v>4400</v>
      </c>
      <c r="AZ76" s="8">
        <v>2256.11</v>
      </c>
      <c r="BA76" s="8">
        <v>1380.32</v>
      </c>
      <c r="BB76" s="8">
        <v>332.2</v>
      </c>
      <c r="BC76" s="8">
        <v>106</v>
      </c>
      <c r="BD76" s="8"/>
      <c r="BE76" s="8">
        <v>2001.07</v>
      </c>
      <c r="BH76" s="8">
        <v>4500</v>
      </c>
      <c r="BJ76" s="8">
        <v>1875</v>
      </c>
      <c r="BK76" s="8">
        <v>9800</v>
      </c>
      <c r="BL76" s="8">
        <f t="shared" si="9"/>
        <v>57393.609999999993</v>
      </c>
      <c r="BM76" s="8">
        <f t="shared" si="10"/>
        <v>3084.44</v>
      </c>
      <c r="BN76" s="8">
        <f t="shared" si="11"/>
        <v>21067.74</v>
      </c>
    </row>
    <row r="77" spans="1:66" x14ac:dyDescent="0.25">
      <c r="A77" s="3" t="s">
        <v>377</v>
      </c>
      <c r="B77" s="3" t="s">
        <v>378</v>
      </c>
      <c r="C77" s="3" t="s">
        <v>379</v>
      </c>
      <c r="D77" s="3" t="s">
        <v>79</v>
      </c>
      <c r="I77" s="3" t="s">
        <v>80</v>
      </c>
      <c r="J77" s="3" t="s">
        <v>81</v>
      </c>
      <c r="K77" s="3" t="s">
        <v>72</v>
      </c>
      <c r="L77" s="3" t="s">
        <v>73</v>
      </c>
      <c r="M77" s="3" t="s">
        <v>74</v>
      </c>
      <c r="N77" s="3" t="s">
        <v>72</v>
      </c>
      <c r="O77" s="7">
        <v>274850</v>
      </c>
      <c r="P77" s="3">
        <v>241</v>
      </c>
      <c r="Q77" s="7" t="s">
        <v>380</v>
      </c>
      <c r="R77" s="7" t="s">
        <v>128</v>
      </c>
      <c r="S77" s="7">
        <v>121.9375</v>
      </c>
      <c r="T77" s="9">
        <f t="shared" si="8"/>
        <v>1.9764223475140954</v>
      </c>
      <c r="U77" s="7">
        <v>5898.38</v>
      </c>
      <c r="W77" s="7">
        <v>469.1</v>
      </c>
      <c r="Z77" s="7">
        <v>1692.39</v>
      </c>
      <c r="AD77" s="7">
        <v>1800</v>
      </c>
      <c r="AE77" s="7">
        <v>340</v>
      </c>
      <c r="AG77" s="7">
        <v>185</v>
      </c>
      <c r="AI77" s="7">
        <v>46125.08</v>
      </c>
      <c r="AJ77" s="7">
        <v>7279.55</v>
      </c>
      <c r="AK77" s="7">
        <v>5265.78</v>
      </c>
      <c r="AQ77" s="7">
        <v>1422.67</v>
      </c>
      <c r="AS77" s="7">
        <v>9075.32</v>
      </c>
      <c r="AU77" s="7">
        <v>360</v>
      </c>
      <c r="AV77" s="7">
        <v>22772.21</v>
      </c>
      <c r="AZ77" s="7">
        <v>7116.76</v>
      </c>
      <c r="BA77" s="7">
        <v>840</v>
      </c>
      <c r="BB77" s="7">
        <v>821.56</v>
      </c>
      <c r="BC77" s="7">
        <v>1720.74</v>
      </c>
      <c r="BE77" s="7">
        <v>6294.33</v>
      </c>
      <c r="BH77" s="7">
        <v>22555.73</v>
      </c>
      <c r="BJ77" s="7">
        <v>3848.8</v>
      </c>
      <c r="BL77" s="8">
        <f t="shared" si="9"/>
        <v>145883.4</v>
      </c>
      <c r="BM77" s="8">
        <f t="shared" si="10"/>
        <v>10384.870000000001</v>
      </c>
      <c r="BN77" s="8">
        <f t="shared" si="11"/>
        <v>81253.899999999994</v>
      </c>
    </row>
    <row r="78" spans="1:66" x14ac:dyDescent="0.25">
      <c r="A78" s="3" t="s">
        <v>381</v>
      </c>
      <c r="B78" s="3" t="s">
        <v>382</v>
      </c>
      <c r="C78" s="3" t="s">
        <v>383</v>
      </c>
      <c r="D78" s="3" t="s">
        <v>126</v>
      </c>
      <c r="O78" s="5">
        <v>120000</v>
      </c>
      <c r="P78" s="3">
        <v>30</v>
      </c>
      <c r="Q78" s="3" t="s">
        <v>384</v>
      </c>
      <c r="R78" s="3" t="s">
        <v>337</v>
      </c>
      <c r="S78" s="9">
        <v>53.8125</v>
      </c>
      <c r="T78" s="9">
        <f t="shared" si="8"/>
        <v>0.55749128919860624</v>
      </c>
      <c r="U78" s="8">
        <v>775.22</v>
      </c>
      <c r="W78" s="8">
        <v>5544.85</v>
      </c>
      <c r="Z78" s="8">
        <v>1750.85</v>
      </c>
      <c r="AE78" s="8">
        <v>695</v>
      </c>
      <c r="AI78" s="8">
        <v>21724.65</v>
      </c>
      <c r="AJ78" s="8">
        <v>2576.09</v>
      </c>
      <c r="AK78" s="8">
        <v>1018.62</v>
      </c>
      <c r="AS78" s="8">
        <v>13051.61</v>
      </c>
      <c r="AZ78" s="8">
        <v>555</v>
      </c>
      <c r="BA78" s="8"/>
      <c r="BB78" s="8">
        <v>297.39999999999998</v>
      </c>
      <c r="BC78" s="8">
        <v>318</v>
      </c>
      <c r="BE78" s="8">
        <v>1615.27</v>
      </c>
      <c r="BL78" s="8">
        <f t="shared" si="9"/>
        <v>49922.560000000005</v>
      </c>
      <c r="BM78" s="8">
        <f t="shared" si="10"/>
        <v>8765.92</v>
      </c>
      <c r="BN78" s="8">
        <f t="shared" si="11"/>
        <v>16855.900000000001</v>
      </c>
    </row>
    <row r="79" spans="1:66" x14ac:dyDescent="0.25">
      <c r="A79" s="3" t="s">
        <v>385</v>
      </c>
      <c r="B79" s="3" t="s">
        <v>386</v>
      </c>
      <c r="C79" s="3" t="s">
        <v>309</v>
      </c>
      <c r="D79" s="3" t="s">
        <v>79</v>
      </c>
      <c r="L79" s="3" t="s">
        <v>171</v>
      </c>
      <c r="M79" s="3" t="s">
        <v>172</v>
      </c>
      <c r="N79" s="3" t="s">
        <v>173</v>
      </c>
      <c r="O79" s="7">
        <v>404810</v>
      </c>
      <c r="P79" s="3">
        <v>298</v>
      </c>
      <c r="Q79" s="7" t="s">
        <v>387</v>
      </c>
      <c r="R79" s="7" t="s">
        <v>128</v>
      </c>
      <c r="S79" s="7">
        <v>181.1875</v>
      </c>
      <c r="T79" s="9">
        <f t="shared" si="8"/>
        <v>1.6447050707140394</v>
      </c>
      <c r="U79" s="7">
        <v>2810.87</v>
      </c>
      <c r="V79" s="7">
        <v>2221.31</v>
      </c>
      <c r="W79" s="7">
        <v>3682.15</v>
      </c>
      <c r="Z79" s="7">
        <v>3420.62</v>
      </c>
      <c r="AB79" s="7">
        <v>50</v>
      </c>
      <c r="AD79" s="7">
        <v>2980</v>
      </c>
      <c r="AE79" s="7">
        <v>4780</v>
      </c>
      <c r="AI79" s="7">
        <v>74723.22</v>
      </c>
      <c r="AJ79" s="7">
        <v>6777.89</v>
      </c>
      <c r="AK79" s="7">
        <v>1448.44</v>
      </c>
      <c r="AS79" s="7">
        <v>14307.46</v>
      </c>
      <c r="AV79" s="7">
        <v>579</v>
      </c>
      <c r="AZ79" s="7">
        <v>64493.5</v>
      </c>
      <c r="BC79" s="7">
        <v>2658.12</v>
      </c>
      <c r="BE79" s="7">
        <v>11106.55</v>
      </c>
      <c r="BH79" s="7">
        <v>7485</v>
      </c>
      <c r="BI79" s="7">
        <v>35400</v>
      </c>
      <c r="BJ79" s="7">
        <v>5770.08</v>
      </c>
      <c r="BL79" s="8">
        <f t="shared" si="9"/>
        <v>244694.20999999996</v>
      </c>
      <c r="BM79" s="8">
        <f t="shared" si="10"/>
        <v>19944.95</v>
      </c>
      <c r="BN79" s="8">
        <f t="shared" si="11"/>
        <v>143248.15</v>
      </c>
    </row>
    <row r="80" spans="1:66" x14ac:dyDescent="0.25">
      <c r="A80" s="3" t="s">
        <v>388</v>
      </c>
      <c r="B80" s="3" t="s">
        <v>389</v>
      </c>
      <c r="C80" s="3" t="s">
        <v>153</v>
      </c>
      <c r="D80" s="3" t="s">
        <v>126</v>
      </c>
      <c r="O80" s="5">
        <v>528655</v>
      </c>
      <c r="P80" s="3">
        <v>271</v>
      </c>
      <c r="Q80" s="4">
        <v>45880</v>
      </c>
      <c r="R80" s="3" t="s">
        <v>115</v>
      </c>
      <c r="S80" s="9">
        <v>219.5</v>
      </c>
      <c r="T80" s="9">
        <f t="shared" si="8"/>
        <v>1.2346241457858771</v>
      </c>
      <c r="U80" s="8">
        <v>2311.27</v>
      </c>
      <c r="V80" s="8">
        <v>4874.92</v>
      </c>
      <c r="W80" s="8">
        <v>1172.75</v>
      </c>
      <c r="Z80" s="8">
        <v>3022.31</v>
      </c>
      <c r="AD80" s="8">
        <v>2420</v>
      </c>
      <c r="AE80" s="8">
        <v>4969.829999999999</v>
      </c>
      <c r="AG80" s="8">
        <v>20</v>
      </c>
      <c r="AI80" s="8">
        <v>86938.05</v>
      </c>
      <c r="AJ80" s="8">
        <v>8580.4599999999991</v>
      </c>
      <c r="AK80" s="8">
        <v>10892.01</v>
      </c>
      <c r="AQ80" s="8">
        <v>574.16</v>
      </c>
      <c r="AS80" s="8">
        <v>70778.09</v>
      </c>
      <c r="AV80" s="8">
        <v>16906.650000000001</v>
      </c>
      <c r="AZ80" s="8">
        <v>25431.22</v>
      </c>
      <c r="BA80" s="8">
        <v>11557.72</v>
      </c>
      <c r="BB80" s="8">
        <v>1922.96</v>
      </c>
      <c r="BC80" s="8">
        <v>2276.63</v>
      </c>
      <c r="BD80" s="8">
        <v>855</v>
      </c>
      <c r="BE80" s="8">
        <v>16757.849999999999</v>
      </c>
      <c r="BH80" s="8">
        <v>21266.1</v>
      </c>
      <c r="BI80" s="8">
        <v>4362.3</v>
      </c>
      <c r="BJ80" s="8">
        <v>12701.07</v>
      </c>
      <c r="BL80" s="8">
        <f t="shared" si="9"/>
        <v>310591.34999999992</v>
      </c>
      <c r="BM80" s="8">
        <f t="shared" si="10"/>
        <v>18791.079999999998</v>
      </c>
      <c r="BN80" s="8">
        <f t="shared" si="11"/>
        <v>183869.04</v>
      </c>
    </row>
    <row r="81" spans="1:66" x14ac:dyDescent="0.25">
      <c r="A81" s="3" t="s">
        <v>390</v>
      </c>
      <c r="B81" s="3" t="s">
        <v>391</v>
      </c>
      <c r="C81" s="3" t="s">
        <v>68</v>
      </c>
      <c r="D81" s="3" t="s">
        <v>79</v>
      </c>
      <c r="L81" s="3" t="s">
        <v>228</v>
      </c>
      <c r="M81" s="3" t="s">
        <v>172</v>
      </c>
      <c r="N81" s="3" t="s">
        <v>173</v>
      </c>
      <c r="O81" s="5">
        <v>640000</v>
      </c>
      <c r="P81" s="3">
        <v>460</v>
      </c>
      <c r="Q81" s="3" t="s">
        <v>392</v>
      </c>
      <c r="R81" s="3" t="s">
        <v>230</v>
      </c>
      <c r="S81" s="9">
        <v>241.125</v>
      </c>
      <c r="T81" s="9">
        <f t="shared" si="8"/>
        <v>1.9077242094349405</v>
      </c>
      <c r="U81" s="8">
        <v>4153.49</v>
      </c>
      <c r="V81" s="8">
        <v>3130.95</v>
      </c>
      <c r="W81" s="8">
        <v>1742.2</v>
      </c>
      <c r="Z81" s="8">
        <v>3406.15</v>
      </c>
      <c r="AE81" s="8">
        <v>6511.45</v>
      </c>
      <c r="AG81" s="8">
        <v>60</v>
      </c>
      <c r="AI81" s="8">
        <v>97097.42</v>
      </c>
      <c r="AJ81" s="8">
        <v>7918.72</v>
      </c>
      <c r="AK81" s="8">
        <v>4060.86</v>
      </c>
      <c r="AL81" s="8">
        <v>45</v>
      </c>
      <c r="AN81" s="8">
        <v>45</v>
      </c>
      <c r="AQ81" s="8">
        <v>912.04</v>
      </c>
      <c r="AS81" s="8">
        <v>16455.439999999999</v>
      </c>
      <c r="AU81" s="8">
        <v>250</v>
      </c>
      <c r="AV81" s="8">
        <v>264</v>
      </c>
      <c r="AZ81" s="8">
        <v>29513.45</v>
      </c>
      <c r="BA81" s="8">
        <v>12058.5</v>
      </c>
      <c r="BC81" s="8">
        <v>4948.07</v>
      </c>
      <c r="BE81" s="8">
        <v>14911.59</v>
      </c>
      <c r="BH81" s="8">
        <v>14122.51</v>
      </c>
      <c r="BI81" s="8">
        <v>69316</v>
      </c>
      <c r="BJ81" s="8">
        <v>8749.59</v>
      </c>
      <c r="BL81" s="8">
        <f t="shared" si="9"/>
        <v>299672.43000000005</v>
      </c>
      <c r="BM81" s="8">
        <f t="shared" si="10"/>
        <v>19004.239999999998</v>
      </c>
      <c r="BN81" s="8">
        <f t="shared" si="11"/>
        <v>163593.54999999999</v>
      </c>
    </row>
    <row r="82" spans="1:66" x14ac:dyDescent="0.25">
      <c r="A82" s="3" t="s">
        <v>393</v>
      </c>
      <c r="B82" s="3" t="s">
        <v>394</v>
      </c>
      <c r="C82" s="3" t="s">
        <v>153</v>
      </c>
      <c r="D82" s="3" t="s">
        <v>126</v>
      </c>
      <c r="O82" s="5">
        <v>366000</v>
      </c>
      <c r="P82" s="3">
        <v>222</v>
      </c>
      <c r="Q82" s="4">
        <v>46010</v>
      </c>
      <c r="R82" s="3" t="s">
        <v>115</v>
      </c>
      <c r="S82" s="9">
        <v>122.375</v>
      </c>
      <c r="T82" s="9">
        <f t="shared" si="8"/>
        <v>1.8140960163432074</v>
      </c>
      <c r="U82" s="8">
        <v>3109.58</v>
      </c>
      <c r="V82" s="8">
        <v>4250.8500000000004</v>
      </c>
      <c r="W82" s="8">
        <v>380</v>
      </c>
      <c r="Z82" s="8">
        <v>1787.82</v>
      </c>
      <c r="AB82" s="8">
        <v>60</v>
      </c>
      <c r="AD82" s="8">
        <v>2000</v>
      </c>
      <c r="AE82" s="8">
        <v>1616</v>
      </c>
      <c r="AI82" s="8">
        <v>48978.76</v>
      </c>
      <c r="AJ82" s="8">
        <v>5433.58</v>
      </c>
      <c r="AK82" s="8">
        <v>11835.43</v>
      </c>
      <c r="AS82" s="8">
        <v>28313.759999999998</v>
      </c>
      <c r="AV82" s="8">
        <v>120</v>
      </c>
      <c r="AZ82" s="8">
        <v>29231.73</v>
      </c>
      <c r="BA82" s="8">
        <v>12086.68</v>
      </c>
      <c r="BB82" s="8">
        <v>665.97</v>
      </c>
      <c r="BC82" s="8">
        <v>15355</v>
      </c>
      <c r="BE82" s="8">
        <v>13374.83</v>
      </c>
      <c r="BH82" s="8">
        <v>3636</v>
      </c>
      <c r="BI82" s="8">
        <v>33028.79</v>
      </c>
      <c r="BJ82" s="8">
        <v>11778</v>
      </c>
      <c r="BK82" s="8">
        <v>2000</v>
      </c>
      <c r="BL82" s="8">
        <f t="shared" si="9"/>
        <v>229042.77999999997</v>
      </c>
      <c r="BM82" s="8">
        <f t="shared" si="10"/>
        <v>13204.25</v>
      </c>
      <c r="BN82" s="8">
        <f t="shared" si="11"/>
        <v>147339.51</v>
      </c>
    </row>
    <row r="83" spans="1:66" x14ac:dyDescent="0.25">
      <c r="A83" s="3" t="s">
        <v>395</v>
      </c>
      <c r="B83" s="3" t="s">
        <v>396</v>
      </c>
      <c r="C83" s="3" t="s">
        <v>397</v>
      </c>
      <c r="D83" s="3" t="s">
        <v>126</v>
      </c>
      <c r="O83" s="5">
        <v>41000</v>
      </c>
      <c r="P83" s="3">
        <v>9</v>
      </c>
      <c r="Q83" s="3" t="s">
        <v>398</v>
      </c>
      <c r="R83" s="3" t="s">
        <v>399</v>
      </c>
      <c r="S83" s="9">
        <v>38.625</v>
      </c>
      <c r="T83" s="9">
        <f t="shared" si="8"/>
        <v>0.23300970873786409</v>
      </c>
      <c r="V83" s="8">
        <v>140.88</v>
      </c>
      <c r="W83" s="8">
        <v>2999.09</v>
      </c>
      <c r="X83" s="8">
        <v>4400</v>
      </c>
      <c r="Z83" s="8">
        <v>924.65</v>
      </c>
      <c r="AE83" s="8">
        <v>535</v>
      </c>
      <c r="AI83" s="8">
        <v>15090.45</v>
      </c>
      <c r="AJ83" s="8">
        <v>1946.04</v>
      </c>
      <c r="AK83" s="8">
        <v>395.01</v>
      </c>
      <c r="AO83" s="8">
        <v>1713.87</v>
      </c>
      <c r="AP83" s="8">
        <v>88</v>
      </c>
      <c r="AS83" s="8">
        <v>956.6</v>
      </c>
      <c r="AY83" s="8">
        <v>599</v>
      </c>
      <c r="AZ83" s="8">
        <v>466.2</v>
      </c>
      <c r="BA83" s="8"/>
      <c r="BB83" s="8">
        <v>96.83</v>
      </c>
      <c r="BC83" s="8">
        <v>1094</v>
      </c>
      <c r="BE83" s="8">
        <v>598.24</v>
      </c>
      <c r="BL83" s="8">
        <f t="shared" si="9"/>
        <v>32043.86</v>
      </c>
      <c r="BM83" s="8">
        <f t="shared" si="10"/>
        <v>4599.6200000000008</v>
      </c>
      <c r="BN83" s="8">
        <f t="shared" si="11"/>
        <v>6007.75</v>
      </c>
    </row>
    <row r="84" spans="1:66" x14ac:dyDescent="0.25">
      <c r="A84" s="3" t="s">
        <v>400</v>
      </c>
      <c r="B84" s="3" t="s">
        <v>401</v>
      </c>
      <c r="C84" s="3" t="s">
        <v>402</v>
      </c>
      <c r="D84" s="3" t="s">
        <v>126</v>
      </c>
      <c r="O84" s="5">
        <v>623603</v>
      </c>
      <c r="P84" s="3">
        <v>296</v>
      </c>
      <c r="Q84" s="3" t="s">
        <v>403</v>
      </c>
      <c r="R84" s="3" t="s">
        <v>404</v>
      </c>
      <c r="S84" s="9">
        <v>274.3125</v>
      </c>
      <c r="T84" s="9">
        <f t="shared" si="8"/>
        <v>1.0790612895876053</v>
      </c>
      <c r="W84" s="8">
        <v>5125.88</v>
      </c>
      <c r="Z84" s="8">
        <v>4158.68</v>
      </c>
      <c r="AE84" s="8">
        <v>17744.61</v>
      </c>
      <c r="AI84" s="8">
        <v>110998.23</v>
      </c>
      <c r="AJ84" s="8">
        <v>16560.78</v>
      </c>
      <c r="AK84" s="8">
        <v>4229</v>
      </c>
      <c r="AS84" s="8">
        <v>130583.83</v>
      </c>
      <c r="AV84" s="8">
        <v>480.72</v>
      </c>
      <c r="AY84" s="8">
        <v>6049</v>
      </c>
      <c r="AZ84" s="8">
        <v>33862.959999999999</v>
      </c>
      <c r="BA84" s="8">
        <v>3320</v>
      </c>
      <c r="BB84" s="8">
        <v>862.57</v>
      </c>
      <c r="BC84" s="8">
        <v>1900.12</v>
      </c>
      <c r="BE84" s="8">
        <v>12690.63</v>
      </c>
      <c r="BK84" s="8">
        <v>3595</v>
      </c>
      <c r="BL84" s="8">
        <f t="shared" si="9"/>
        <v>352162.01</v>
      </c>
      <c r="BM84" s="8">
        <f t="shared" si="10"/>
        <v>27029.170000000002</v>
      </c>
      <c r="BN84" s="8">
        <f t="shared" si="11"/>
        <v>190658.83000000002</v>
      </c>
    </row>
    <row r="85" spans="1:66" x14ac:dyDescent="0.25">
      <c r="A85" s="3" t="s">
        <v>405</v>
      </c>
      <c r="B85" s="3" t="s">
        <v>406</v>
      </c>
      <c r="C85" s="3" t="s">
        <v>118</v>
      </c>
      <c r="D85" s="3" t="s">
        <v>79</v>
      </c>
      <c r="G85" s="3" t="s">
        <v>204</v>
      </c>
      <c r="H85" s="3" t="s">
        <v>173</v>
      </c>
      <c r="I85" s="3" t="s">
        <v>191</v>
      </c>
      <c r="J85" s="3" t="s">
        <v>81</v>
      </c>
      <c r="K85" s="3" t="s">
        <v>173</v>
      </c>
      <c r="L85" s="3" t="s">
        <v>171</v>
      </c>
      <c r="M85" s="3" t="s">
        <v>172</v>
      </c>
      <c r="N85" s="3" t="s">
        <v>173</v>
      </c>
      <c r="O85" s="7">
        <v>560704</v>
      </c>
      <c r="P85" s="3">
        <v>284</v>
      </c>
      <c r="Q85" s="25">
        <v>45841</v>
      </c>
      <c r="R85" s="7" t="s">
        <v>128</v>
      </c>
      <c r="S85" s="7">
        <v>211.5625</v>
      </c>
      <c r="T85" s="9">
        <f t="shared" si="8"/>
        <v>1.3423929098966028</v>
      </c>
      <c r="U85" s="7">
        <v>10035.530000000001</v>
      </c>
      <c r="W85" s="7">
        <v>17159.32</v>
      </c>
      <c r="Z85" s="7">
        <v>4039.57</v>
      </c>
      <c r="AD85" s="7">
        <v>2600</v>
      </c>
      <c r="AE85" s="7">
        <v>13320</v>
      </c>
      <c r="AG85" s="7">
        <v>40</v>
      </c>
      <c r="AH85" s="27">
        <v>20600</v>
      </c>
      <c r="AI85" s="7">
        <v>68608.53</v>
      </c>
      <c r="AJ85" s="7">
        <v>36045.26</v>
      </c>
      <c r="AK85" s="7">
        <v>1431.55</v>
      </c>
      <c r="AQ85" s="7">
        <v>283.14999999999998</v>
      </c>
      <c r="AS85" s="7">
        <v>8082.7</v>
      </c>
      <c r="AU85" s="7">
        <v>1157.5999999999999</v>
      </c>
      <c r="AV85" s="7">
        <v>455</v>
      </c>
      <c r="AZ85" s="7">
        <v>36737.08</v>
      </c>
      <c r="BB85" s="7">
        <v>3220.37</v>
      </c>
      <c r="BC85" s="7">
        <v>3502.24</v>
      </c>
      <c r="BD85" s="7">
        <v>505</v>
      </c>
      <c r="BE85" s="7">
        <v>9911.94</v>
      </c>
      <c r="BF85" s="7">
        <v>21505.5</v>
      </c>
      <c r="BH85" s="7">
        <v>2991</v>
      </c>
      <c r="BI85" s="7">
        <v>37380</v>
      </c>
      <c r="BJ85" s="7">
        <v>7432.6</v>
      </c>
      <c r="BL85" s="8">
        <f t="shared" si="9"/>
        <v>307043.94</v>
      </c>
      <c r="BM85" s="8">
        <f t="shared" si="10"/>
        <v>47194.42</v>
      </c>
      <c r="BN85" s="8">
        <f t="shared" si="11"/>
        <v>134090.73000000001</v>
      </c>
    </row>
    <row r="86" spans="1:66" x14ac:dyDescent="0.25">
      <c r="A86" s="3" t="s">
        <v>407</v>
      </c>
      <c r="B86" s="3" t="s">
        <v>408</v>
      </c>
      <c r="C86" s="3" t="s">
        <v>409</v>
      </c>
      <c r="D86" s="3" t="s">
        <v>79</v>
      </c>
      <c r="I86" s="3" t="s">
        <v>80</v>
      </c>
      <c r="J86" s="3" t="s">
        <v>81</v>
      </c>
      <c r="K86" s="3" t="s">
        <v>336</v>
      </c>
      <c r="L86" s="3" t="s">
        <v>73</v>
      </c>
      <c r="M86" s="3" t="s">
        <v>74</v>
      </c>
      <c r="N86" s="3" t="s">
        <v>336</v>
      </c>
      <c r="O86" s="5">
        <v>596600</v>
      </c>
      <c r="P86" s="3">
        <v>679</v>
      </c>
      <c r="Q86" s="3" t="s">
        <v>410</v>
      </c>
      <c r="R86" s="3" t="s">
        <v>115</v>
      </c>
      <c r="S86" s="9">
        <v>364.1875</v>
      </c>
      <c r="T86" s="9">
        <f t="shared" si="8"/>
        <v>1.8644242320233397</v>
      </c>
      <c r="U86" s="8">
        <v>9029.43</v>
      </c>
      <c r="V86" s="8">
        <v>12471.55</v>
      </c>
      <c r="W86" s="8">
        <v>717.57</v>
      </c>
      <c r="Z86" s="8">
        <v>3984.93</v>
      </c>
      <c r="AD86" s="8">
        <v>6000</v>
      </c>
      <c r="AE86" s="8">
        <v>370</v>
      </c>
      <c r="AI86" s="8">
        <v>134698.79</v>
      </c>
      <c r="AJ86" s="8">
        <v>18254.849999999999</v>
      </c>
      <c r="AK86" s="8">
        <v>33074.97</v>
      </c>
      <c r="AQ86" s="8">
        <v>915</v>
      </c>
      <c r="AS86" s="8">
        <v>12175.5</v>
      </c>
      <c r="AU86" s="8">
        <v>120</v>
      </c>
      <c r="AV86" s="8">
        <v>59797.08</v>
      </c>
      <c r="AZ86" s="8">
        <v>34720.050000000003</v>
      </c>
      <c r="BA86" s="8"/>
      <c r="BB86" s="8"/>
      <c r="BC86" s="8">
        <v>4128.2799999999988</v>
      </c>
      <c r="BD86" s="8">
        <v>14979</v>
      </c>
      <c r="BE86" s="8">
        <v>14652.66</v>
      </c>
      <c r="BF86" s="8">
        <v>5050</v>
      </c>
      <c r="BH86" s="8">
        <v>65356.1</v>
      </c>
      <c r="BJ86" s="8">
        <v>14033</v>
      </c>
      <c r="BL86" s="8">
        <f t="shared" si="9"/>
        <v>444528.75999999995</v>
      </c>
      <c r="BM86" s="8">
        <f t="shared" si="10"/>
        <v>32573.48</v>
      </c>
      <c r="BN86" s="8">
        <f t="shared" si="11"/>
        <v>244022.64</v>
      </c>
    </row>
    <row r="87" spans="1:66" x14ac:dyDescent="0.25">
      <c r="A87" s="3" t="s">
        <v>411</v>
      </c>
      <c r="B87" s="3" t="s">
        <v>412</v>
      </c>
      <c r="C87" s="3" t="s">
        <v>413</v>
      </c>
      <c r="D87" s="3" t="s">
        <v>69</v>
      </c>
      <c r="F87" s="3">
        <v>0.5</v>
      </c>
      <c r="I87" s="3" t="s">
        <v>80</v>
      </c>
      <c r="J87" s="3" t="s">
        <v>81</v>
      </c>
      <c r="K87" s="3" t="s">
        <v>72</v>
      </c>
      <c r="L87" s="3" t="s">
        <v>73</v>
      </c>
      <c r="M87" s="3" t="s">
        <v>414</v>
      </c>
      <c r="N87" s="3" t="s">
        <v>72</v>
      </c>
      <c r="O87" s="5">
        <v>1461250</v>
      </c>
      <c r="P87" s="3">
        <v>2433</v>
      </c>
      <c r="Q87" s="4">
        <v>45871</v>
      </c>
      <c r="R87" s="3" t="s">
        <v>415</v>
      </c>
      <c r="S87" s="9">
        <v>478.6875</v>
      </c>
      <c r="T87" s="9">
        <f t="shared" si="8"/>
        <v>5.0826478652565612</v>
      </c>
      <c r="U87" s="8">
        <v>8724.4599999999991</v>
      </c>
      <c r="V87" s="8">
        <v>17911</v>
      </c>
      <c r="W87" s="8">
        <v>1768.4</v>
      </c>
      <c r="Z87" s="8">
        <v>6376.07</v>
      </c>
      <c r="AE87" s="8">
        <v>14139</v>
      </c>
      <c r="AG87" s="8">
        <v>80</v>
      </c>
      <c r="AH87" s="27">
        <v>14108</v>
      </c>
      <c r="AI87" s="8">
        <v>166953.47</v>
      </c>
      <c r="AJ87" s="8">
        <v>31406.52</v>
      </c>
      <c r="AK87" s="8">
        <v>67512.06</v>
      </c>
      <c r="AQ87" s="8">
        <v>2112</v>
      </c>
      <c r="AS87" s="8">
        <v>19002.759999999998</v>
      </c>
      <c r="AV87" s="8">
        <v>171754.88</v>
      </c>
      <c r="AZ87" s="8">
        <v>43722.75</v>
      </c>
      <c r="BA87" s="8">
        <v>66047.070000000007</v>
      </c>
      <c r="BB87" s="8">
        <v>276.68</v>
      </c>
      <c r="BC87" s="8">
        <v>1834.88</v>
      </c>
      <c r="BE87" s="8">
        <v>68978.559999999998</v>
      </c>
      <c r="BH87" s="8">
        <v>328412</v>
      </c>
      <c r="BJ87" s="8">
        <v>16820.25</v>
      </c>
      <c r="BK87" s="8">
        <v>83109.929999999993</v>
      </c>
      <c r="BL87" s="8">
        <f t="shared" si="9"/>
        <v>1131050.74</v>
      </c>
      <c r="BM87" s="8">
        <f t="shared" si="10"/>
        <v>48998.93</v>
      </c>
      <c r="BN87" s="8">
        <f t="shared" si="11"/>
        <v>720426.82000000007</v>
      </c>
    </row>
    <row r="88" spans="1:66" x14ac:dyDescent="0.25">
      <c r="A88" s="3" t="s">
        <v>416</v>
      </c>
      <c r="B88" s="3" t="s">
        <v>417</v>
      </c>
      <c r="C88" s="3" t="s">
        <v>418</v>
      </c>
      <c r="D88" s="3" t="s">
        <v>126</v>
      </c>
      <c r="O88" s="5">
        <v>100000</v>
      </c>
      <c r="P88" s="3">
        <v>67</v>
      </c>
      <c r="Q88" s="3" t="s">
        <v>419</v>
      </c>
      <c r="R88" s="3" t="s">
        <v>415</v>
      </c>
      <c r="S88" s="9">
        <v>80.6875</v>
      </c>
      <c r="T88" s="9">
        <f t="shared" si="8"/>
        <v>0.8303640588690937</v>
      </c>
      <c r="U88" s="8">
        <v>2080.27</v>
      </c>
      <c r="V88" s="8">
        <v>1776.76</v>
      </c>
      <c r="W88" s="8">
        <v>1214.32</v>
      </c>
      <c r="Z88" s="8">
        <v>1683.81</v>
      </c>
      <c r="AD88" s="8">
        <v>750</v>
      </c>
      <c r="AE88" s="8">
        <v>120</v>
      </c>
      <c r="AG88" s="8">
        <v>80</v>
      </c>
      <c r="AI88" s="8">
        <v>30122.48</v>
      </c>
      <c r="AJ88" s="8">
        <v>4466.2700000000004</v>
      </c>
      <c r="AK88" s="8">
        <v>5702.53</v>
      </c>
      <c r="AO88" s="8">
        <v>2957.82</v>
      </c>
      <c r="AP88" s="8">
        <v>324</v>
      </c>
      <c r="AQ88" s="8">
        <v>355</v>
      </c>
      <c r="AS88" s="8">
        <v>1386</v>
      </c>
      <c r="AV88" s="8">
        <v>7092.3</v>
      </c>
      <c r="AZ88" s="8">
        <v>2730</v>
      </c>
      <c r="BA88" s="8"/>
      <c r="BB88" s="8">
        <v>211.37</v>
      </c>
      <c r="BC88" s="8">
        <v>1296.6400000000001</v>
      </c>
      <c r="BE88" s="8">
        <v>1939.63</v>
      </c>
      <c r="BH88" s="8">
        <v>3990</v>
      </c>
      <c r="BJ88" s="8">
        <v>768</v>
      </c>
      <c r="BL88" s="8">
        <f t="shared" si="9"/>
        <v>71047.200000000012</v>
      </c>
      <c r="BM88" s="8">
        <f t="shared" si="10"/>
        <v>7705.16</v>
      </c>
      <c r="BN88" s="8">
        <f t="shared" si="11"/>
        <v>28753.29</v>
      </c>
    </row>
    <row r="89" spans="1:66" x14ac:dyDescent="0.25">
      <c r="A89" s="3" t="s">
        <v>420</v>
      </c>
      <c r="B89" s="3" t="s">
        <v>421</v>
      </c>
      <c r="C89" s="3" t="s">
        <v>153</v>
      </c>
      <c r="D89" s="3" t="s">
        <v>79</v>
      </c>
      <c r="L89" s="3" t="s">
        <v>73</v>
      </c>
      <c r="M89" s="3" t="s">
        <v>74</v>
      </c>
      <c r="N89" s="3" t="s">
        <v>72</v>
      </c>
      <c r="O89" s="5">
        <v>165000</v>
      </c>
      <c r="P89" s="3">
        <v>223</v>
      </c>
      <c r="Q89" s="3" t="s">
        <v>422</v>
      </c>
      <c r="R89" s="3" t="s">
        <v>115</v>
      </c>
      <c r="S89" s="9">
        <v>76.125</v>
      </c>
      <c r="T89" s="9">
        <f t="shared" si="8"/>
        <v>2.9293924466338259</v>
      </c>
      <c r="Z89" s="8">
        <v>1952.16</v>
      </c>
      <c r="AE89" s="8">
        <v>2145</v>
      </c>
      <c r="AI89" s="8">
        <v>32411.15</v>
      </c>
      <c r="AJ89" s="8">
        <v>4037.06</v>
      </c>
      <c r="AK89" s="8">
        <v>2636</v>
      </c>
      <c r="AN89" s="8">
        <v>90</v>
      </c>
      <c r="AQ89" s="8">
        <v>102</v>
      </c>
      <c r="AS89" s="8">
        <v>7876</v>
      </c>
      <c r="AV89" s="8">
        <v>1584</v>
      </c>
      <c r="AZ89" s="8">
        <v>5825.7999999999993</v>
      </c>
      <c r="BA89" s="8">
        <v>9558</v>
      </c>
      <c r="BB89" s="8">
        <v>390.01</v>
      </c>
      <c r="BC89" s="8">
        <v>972.39</v>
      </c>
      <c r="BE89" s="8">
        <v>3907.77</v>
      </c>
      <c r="BH89" s="8">
        <v>21366</v>
      </c>
      <c r="BJ89" s="8">
        <v>5034.16</v>
      </c>
      <c r="BL89" s="8">
        <f t="shared" si="9"/>
        <v>99887.5</v>
      </c>
      <c r="BM89" s="8">
        <f t="shared" si="10"/>
        <v>4097.16</v>
      </c>
      <c r="BN89" s="8">
        <f t="shared" si="11"/>
        <v>49784.12999999999</v>
      </c>
    </row>
    <row r="90" spans="1:66" x14ac:dyDescent="0.25">
      <c r="A90" s="3" t="s">
        <v>423</v>
      </c>
      <c r="B90" s="3" t="s">
        <v>424</v>
      </c>
      <c r="C90" s="3" t="s">
        <v>425</v>
      </c>
      <c r="D90" s="3" t="s">
        <v>69</v>
      </c>
      <c r="F90" s="3">
        <v>2</v>
      </c>
      <c r="I90" s="3" t="s">
        <v>80</v>
      </c>
      <c r="J90" s="3" t="s">
        <v>81</v>
      </c>
      <c r="K90" s="3" t="s">
        <v>72</v>
      </c>
      <c r="L90" s="3" t="s">
        <v>73</v>
      </c>
      <c r="M90" s="3" t="s">
        <v>414</v>
      </c>
      <c r="N90" s="3" t="s">
        <v>72</v>
      </c>
      <c r="O90" s="5">
        <v>482700</v>
      </c>
      <c r="P90" s="3">
        <v>828</v>
      </c>
      <c r="Q90" s="3" t="s">
        <v>426</v>
      </c>
      <c r="R90" s="3" t="s">
        <v>115</v>
      </c>
      <c r="S90" s="9">
        <v>197.375</v>
      </c>
      <c r="T90" s="9">
        <f t="shared" si="8"/>
        <v>4.1950601646611778</v>
      </c>
      <c r="U90" s="8">
        <v>6370.67</v>
      </c>
      <c r="V90" s="8">
        <v>19395</v>
      </c>
      <c r="W90" s="8">
        <v>2649.43</v>
      </c>
      <c r="Z90" s="8">
        <v>1933.61</v>
      </c>
      <c r="AD90" s="8">
        <v>2300</v>
      </c>
      <c r="AE90" s="8">
        <v>6318</v>
      </c>
      <c r="AH90" s="27">
        <v>11360</v>
      </c>
      <c r="AI90" s="8">
        <v>81584.28</v>
      </c>
      <c r="AJ90" s="8">
        <v>3696.97</v>
      </c>
      <c r="AK90" s="8">
        <v>18983.25</v>
      </c>
      <c r="AQ90" s="8">
        <v>1807.98</v>
      </c>
      <c r="AS90" s="8">
        <v>6801.6</v>
      </c>
      <c r="AU90" s="8">
        <v>49758.720000000001</v>
      </c>
      <c r="AV90" s="8">
        <v>912.64</v>
      </c>
      <c r="AZ90" s="8">
        <v>15878.350000000009</v>
      </c>
      <c r="BA90" s="8">
        <v>51893</v>
      </c>
      <c r="BB90" s="8">
        <v>927.17</v>
      </c>
      <c r="BC90" s="8">
        <v>4970.5</v>
      </c>
      <c r="BE90" s="8">
        <v>27322.59</v>
      </c>
      <c r="BH90" s="8">
        <v>112352.6</v>
      </c>
      <c r="BJ90" s="8">
        <v>4756.3</v>
      </c>
      <c r="BL90" s="8">
        <f t="shared" si="9"/>
        <v>431972.66</v>
      </c>
      <c r="BM90" s="8">
        <f t="shared" si="10"/>
        <v>38966.71</v>
      </c>
      <c r="BN90" s="8">
        <f t="shared" si="11"/>
        <v>244471.7</v>
      </c>
    </row>
    <row r="91" spans="1:66" x14ac:dyDescent="0.25">
      <c r="A91" s="3" t="s">
        <v>427</v>
      </c>
      <c r="B91" s="3" t="s">
        <v>428</v>
      </c>
      <c r="C91" s="3" t="s">
        <v>138</v>
      </c>
      <c r="D91" s="3" t="s">
        <v>79</v>
      </c>
      <c r="L91" s="3" t="s">
        <v>171</v>
      </c>
      <c r="M91" s="3" t="s">
        <v>280</v>
      </c>
      <c r="N91" s="3" t="s">
        <v>173</v>
      </c>
      <c r="O91" s="5">
        <v>433700</v>
      </c>
      <c r="P91" s="3">
        <v>827</v>
      </c>
      <c r="Q91" s="4">
        <v>45892</v>
      </c>
      <c r="R91" s="3" t="s">
        <v>115</v>
      </c>
      <c r="S91" s="9">
        <v>110.4375</v>
      </c>
      <c r="T91" s="9">
        <f t="shared" si="8"/>
        <v>7.4883984153933216</v>
      </c>
      <c r="U91" s="8">
        <v>5327.98</v>
      </c>
      <c r="V91" s="8">
        <v>4040.25</v>
      </c>
      <c r="W91" s="8">
        <v>2394.11</v>
      </c>
      <c r="Z91" s="8">
        <v>2091.9299999999998</v>
      </c>
      <c r="AE91" s="8">
        <v>2918.75</v>
      </c>
      <c r="AG91" s="8">
        <v>260</v>
      </c>
      <c r="AI91" s="8">
        <v>46734.96</v>
      </c>
      <c r="AJ91" s="8">
        <v>4430.2700000000004</v>
      </c>
      <c r="AK91" s="8">
        <v>806.75</v>
      </c>
      <c r="AQ91" s="8">
        <v>436.41</v>
      </c>
      <c r="AS91" s="8">
        <v>15657</v>
      </c>
      <c r="AU91" s="8">
        <v>1100</v>
      </c>
      <c r="AV91" s="8">
        <v>630.1</v>
      </c>
      <c r="AZ91" s="8">
        <v>53532.45</v>
      </c>
      <c r="BA91" s="8">
        <v>29960</v>
      </c>
      <c r="BB91" s="8">
        <v>52.38</v>
      </c>
      <c r="BC91" s="8">
        <v>9056.5</v>
      </c>
      <c r="BE91" s="8">
        <v>27371.89</v>
      </c>
      <c r="BH91" s="8">
        <v>2811.75</v>
      </c>
      <c r="BI91" s="8">
        <v>154610.4</v>
      </c>
      <c r="BJ91" s="8">
        <v>2882.25</v>
      </c>
      <c r="BL91" s="8">
        <f t="shared" si="9"/>
        <v>367106.13</v>
      </c>
      <c r="BM91" s="8">
        <f t="shared" si="10"/>
        <v>17033.02</v>
      </c>
      <c r="BN91" s="8">
        <f t="shared" si="11"/>
        <v>268947.88</v>
      </c>
    </row>
    <row r="92" spans="1:66" x14ac:dyDescent="0.25">
      <c r="A92" s="3" t="s">
        <v>429</v>
      </c>
      <c r="B92" s="3" t="s">
        <v>430</v>
      </c>
      <c r="C92" s="3" t="s">
        <v>346</v>
      </c>
      <c r="D92" s="3" t="s">
        <v>69</v>
      </c>
      <c r="F92" s="3">
        <v>3</v>
      </c>
      <c r="I92" s="3" t="s">
        <v>80</v>
      </c>
      <c r="J92" s="3" t="s">
        <v>81</v>
      </c>
      <c r="K92" s="3" t="s">
        <v>72</v>
      </c>
      <c r="L92" s="3" t="s">
        <v>73</v>
      </c>
      <c r="M92" s="3" t="s">
        <v>414</v>
      </c>
      <c r="N92" s="3" t="s">
        <v>72</v>
      </c>
      <c r="O92" s="5">
        <v>576100</v>
      </c>
      <c r="P92" s="3">
        <v>1035</v>
      </c>
      <c r="Q92" s="3" t="s">
        <v>431</v>
      </c>
      <c r="R92" s="3" t="s">
        <v>415</v>
      </c>
      <c r="S92" s="9">
        <v>347.9375</v>
      </c>
      <c r="T92" s="9">
        <f t="shared" si="8"/>
        <v>2.974672175318843</v>
      </c>
      <c r="U92" s="8">
        <v>4379.25</v>
      </c>
      <c r="V92" s="8">
        <v>19055.580000000002</v>
      </c>
      <c r="W92" s="8">
        <v>2109.16</v>
      </c>
      <c r="Z92" s="8">
        <v>4319.41</v>
      </c>
      <c r="AE92" s="8">
        <v>3369.9999999999991</v>
      </c>
      <c r="AG92" s="8">
        <v>140</v>
      </c>
      <c r="AI92" s="8">
        <v>136838.37</v>
      </c>
      <c r="AJ92" s="8">
        <v>14666.54</v>
      </c>
      <c r="AK92" s="8">
        <v>23241.62</v>
      </c>
      <c r="AQ92" s="8">
        <v>1790.85</v>
      </c>
      <c r="AS92" s="8">
        <v>12835.8</v>
      </c>
      <c r="AV92" s="8">
        <v>61065.2</v>
      </c>
      <c r="AZ92" s="8">
        <v>33209.230000000003</v>
      </c>
      <c r="BA92" s="8">
        <v>65659</v>
      </c>
      <c r="BB92" s="8">
        <v>56.64</v>
      </c>
      <c r="BC92" s="8">
        <v>6437.96</v>
      </c>
      <c r="BE92" s="8">
        <v>31288.28</v>
      </c>
      <c r="BH92" s="8">
        <v>131047.42</v>
      </c>
      <c r="BJ92" s="8">
        <v>9115.56</v>
      </c>
      <c r="BL92" s="8">
        <f t="shared" si="9"/>
        <v>560625.87000000011</v>
      </c>
      <c r="BM92" s="8">
        <f t="shared" si="10"/>
        <v>33373.4</v>
      </c>
      <c r="BN92" s="8">
        <f t="shared" si="11"/>
        <v>310088.56</v>
      </c>
    </row>
    <row r="93" spans="1:66" x14ac:dyDescent="0.25">
      <c r="A93" s="3" t="s">
        <v>432</v>
      </c>
      <c r="B93" s="3" t="s">
        <v>433</v>
      </c>
      <c r="C93" s="3" t="s">
        <v>346</v>
      </c>
      <c r="D93" s="3" t="s">
        <v>69</v>
      </c>
      <c r="F93" s="3">
        <v>3</v>
      </c>
      <c r="I93" s="3" t="s">
        <v>80</v>
      </c>
      <c r="J93" s="3" t="s">
        <v>81</v>
      </c>
      <c r="K93" s="3" t="s">
        <v>72</v>
      </c>
      <c r="L93" s="3" t="s">
        <v>73</v>
      </c>
      <c r="M93" s="3" t="s">
        <v>414</v>
      </c>
      <c r="N93" s="3" t="s">
        <v>72</v>
      </c>
      <c r="O93" s="5">
        <v>573800</v>
      </c>
      <c r="P93" s="3">
        <v>1100</v>
      </c>
      <c r="Q93" s="3" t="s">
        <v>434</v>
      </c>
      <c r="R93" s="3" t="s">
        <v>115</v>
      </c>
      <c r="S93" s="9">
        <v>237.9375</v>
      </c>
      <c r="T93" s="9">
        <f t="shared" si="8"/>
        <v>4.623062779091148</v>
      </c>
      <c r="U93" s="8">
        <v>4789.45</v>
      </c>
      <c r="V93" s="8">
        <v>15679.79</v>
      </c>
      <c r="W93" s="8">
        <v>2869</v>
      </c>
      <c r="Z93" s="8">
        <v>4587.45</v>
      </c>
      <c r="AE93" s="8">
        <v>4693.75</v>
      </c>
      <c r="AI93" s="8">
        <v>98661.27</v>
      </c>
      <c r="AJ93" s="8">
        <v>10002.86</v>
      </c>
      <c r="AK93" s="8">
        <v>27450.92</v>
      </c>
      <c r="AQ93" s="8">
        <v>1202.0899999999999</v>
      </c>
      <c r="AS93" s="8">
        <v>7489.3</v>
      </c>
      <c r="AV93" s="8">
        <v>64609.94</v>
      </c>
      <c r="AZ93" s="8">
        <v>16017.83</v>
      </c>
      <c r="BA93" s="8">
        <v>61854</v>
      </c>
      <c r="BC93" s="8">
        <v>3296</v>
      </c>
      <c r="BD93" s="8"/>
      <c r="BE93" s="8">
        <v>32951.360000000001</v>
      </c>
      <c r="BH93" s="8">
        <v>141162.45000000001</v>
      </c>
      <c r="BJ93" s="8">
        <v>10300.91</v>
      </c>
      <c r="BL93" s="8">
        <f t="shared" si="9"/>
        <v>507618.36999999994</v>
      </c>
      <c r="BM93" s="8">
        <f t="shared" si="10"/>
        <v>32619.440000000002</v>
      </c>
      <c r="BN93" s="8">
        <f t="shared" si="11"/>
        <v>304480.8</v>
      </c>
    </row>
    <row r="94" spans="1:66" x14ac:dyDescent="0.25">
      <c r="A94" s="3" t="s">
        <v>435</v>
      </c>
      <c r="B94" s="3" t="s">
        <v>436</v>
      </c>
      <c r="C94" s="3" t="s">
        <v>68</v>
      </c>
      <c r="D94" s="3" t="s">
        <v>69</v>
      </c>
      <c r="F94" s="3">
        <v>2</v>
      </c>
      <c r="I94" s="3" t="s">
        <v>80</v>
      </c>
      <c r="J94" s="3" t="s">
        <v>81</v>
      </c>
      <c r="K94" s="3" t="s">
        <v>72</v>
      </c>
      <c r="L94" s="3" t="s">
        <v>73</v>
      </c>
      <c r="M94" s="3" t="s">
        <v>414</v>
      </c>
      <c r="N94" s="3" t="s">
        <v>72</v>
      </c>
      <c r="O94" s="5">
        <v>181700</v>
      </c>
      <c r="P94" s="3">
        <v>259</v>
      </c>
      <c r="Q94" s="4">
        <v>45827</v>
      </c>
      <c r="R94" s="3" t="s">
        <v>415</v>
      </c>
      <c r="S94" s="9">
        <v>81.375</v>
      </c>
      <c r="T94" s="9">
        <f t="shared" si="8"/>
        <v>3.182795698924731</v>
      </c>
      <c r="U94" s="8">
        <v>1568.65</v>
      </c>
      <c r="V94" s="8">
        <v>6925</v>
      </c>
      <c r="W94" s="8">
        <v>1320.93</v>
      </c>
      <c r="Z94" s="8">
        <v>2353.2399999999998</v>
      </c>
      <c r="AC94" s="8">
        <v>582.5</v>
      </c>
      <c r="AE94" s="8">
        <v>6145</v>
      </c>
      <c r="AG94" s="8">
        <v>100</v>
      </c>
      <c r="AI94" s="8">
        <v>55460.31</v>
      </c>
      <c r="AJ94" s="8">
        <v>1821.31</v>
      </c>
      <c r="AK94" s="8">
        <v>6451.01</v>
      </c>
      <c r="AQ94" s="8">
        <v>957.63</v>
      </c>
      <c r="AS94" s="8">
        <v>4469.3999999999996</v>
      </c>
      <c r="AV94" s="8">
        <v>15999.84</v>
      </c>
      <c r="AZ94" s="8">
        <v>10117.719999999999</v>
      </c>
      <c r="BA94" s="8">
        <v>14865</v>
      </c>
      <c r="BB94" s="8">
        <v>20.6</v>
      </c>
      <c r="BC94" s="8">
        <v>1704</v>
      </c>
      <c r="BE94" s="8">
        <v>9459.0499999999993</v>
      </c>
      <c r="BH94" s="8">
        <v>35713.58</v>
      </c>
      <c r="BJ94" s="8">
        <v>1855.18</v>
      </c>
      <c r="BL94" s="8">
        <f t="shared" si="9"/>
        <v>177889.95</v>
      </c>
      <c r="BM94" s="8">
        <f t="shared" si="10"/>
        <v>18995.32</v>
      </c>
      <c r="BN94" s="8">
        <f t="shared" si="11"/>
        <v>86748.01</v>
      </c>
    </row>
    <row r="95" spans="1:66" x14ac:dyDescent="0.25">
      <c r="A95" s="3" t="s">
        <v>437</v>
      </c>
      <c r="B95" s="3" t="s">
        <v>438</v>
      </c>
      <c r="C95" s="3" t="s">
        <v>92</v>
      </c>
      <c r="D95" s="3" t="s">
        <v>79</v>
      </c>
      <c r="I95" s="3" t="s">
        <v>80</v>
      </c>
      <c r="J95" s="3" t="s">
        <v>81</v>
      </c>
      <c r="K95" s="3" t="s">
        <v>72</v>
      </c>
      <c r="L95" s="3" t="s">
        <v>73</v>
      </c>
      <c r="M95" s="3" t="s">
        <v>414</v>
      </c>
      <c r="N95" s="3" t="s">
        <v>336</v>
      </c>
      <c r="O95" s="5">
        <v>1129900</v>
      </c>
      <c r="P95" s="3">
        <v>1798</v>
      </c>
      <c r="Q95" s="3" t="s">
        <v>439</v>
      </c>
      <c r="R95" s="3" t="s">
        <v>115</v>
      </c>
      <c r="S95" s="9">
        <v>392.6</v>
      </c>
      <c r="T95" s="9">
        <f t="shared" si="8"/>
        <v>4.5797249108507385</v>
      </c>
      <c r="U95" s="8">
        <v>2409.39</v>
      </c>
      <c r="V95" s="8">
        <v>6662</v>
      </c>
      <c r="W95" s="8">
        <v>2802.75</v>
      </c>
      <c r="Z95" s="8">
        <v>4458.2</v>
      </c>
      <c r="AE95" s="8">
        <v>16259.28</v>
      </c>
      <c r="AG95" s="8">
        <v>25.05</v>
      </c>
      <c r="AI95" s="8">
        <v>156435.97</v>
      </c>
      <c r="AJ95" s="8">
        <v>12585.12</v>
      </c>
      <c r="AK95" s="8">
        <v>42133.5</v>
      </c>
      <c r="AQ95" s="8">
        <v>5215.93</v>
      </c>
      <c r="AS95" s="8">
        <v>26821.96</v>
      </c>
      <c r="AV95" s="8">
        <v>120938.9</v>
      </c>
      <c r="AZ95" s="8">
        <v>20532.600000000009</v>
      </c>
      <c r="BA95" s="8">
        <v>173997</v>
      </c>
      <c r="BC95" s="8">
        <v>8891.0800000000017</v>
      </c>
      <c r="BD95" s="8">
        <v>15955</v>
      </c>
      <c r="BE95" s="8">
        <v>64326.73</v>
      </c>
      <c r="BH95" s="8">
        <v>223600.9</v>
      </c>
      <c r="BJ95" s="8">
        <v>13459.6</v>
      </c>
      <c r="BL95" s="8">
        <f t="shared" si="9"/>
        <v>917510.96000000008</v>
      </c>
      <c r="BM95" s="8">
        <f t="shared" si="10"/>
        <v>32616.670000000002</v>
      </c>
      <c r="BN95" s="8">
        <f t="shared" si="11"/>
        <v>525921.19999999995</v>
      </c>
    </row>
    <row r="96" spans="1:66" x14ac:dyDescent="0.25">
      <c r="A96" s="3" t="s">
        <v>440</v>
      </c>
      <c r="B96" s="3" t="s">
        <v>441</v>
      </c>
      <c r="C96" s="3" t="s">
        <v>442</v>
      </c>
      <c r="D96" s="3" t="s">
        <v>79</v>
      </c>
      <c r="I96" s="3" t="s">
        <v>80</v>
      </c>
      <c r="J96" s="3" t="s">
        <v>81</v>
      </c>
      <c r="K96" s="3" t="s">
        <v>72</v>
      </c>
      <c r="L96" s="3" t="s">
        <v>73</v>
      </c>
      <c r="M96" s="3" t="s">
        <v>74</v>
      </c>
      <c r="N96" s="3" t="s">
        <v>336</v>
      </c>
      <c r="O96" s="7">
        <v>994340</v>
      </c>
      <c r="P96" s="3">
        <v>2020</v>
      </c>
      <c r="Q96" s="7" t="s">
        <v>443</v>
      </c>
      <c r="R96" s="7" t="s">
        <v>128</v>
      </c>
      <c r="S96" s="7">
        <v>342.5625</v>
      </c>
      <c r="T96" s="9">
        <f t="shared" si="8"/>
        <v>5.8967341725962417</v>
      </c>
      <c r="U96" s="7">
        <v>347.68</v>
      </c>
      <c r="V96" s="7">
        <v>213.98</v>
      </c>
      <c r="W96" s="7">
        <v>2576.2199999999998</v>
      </c>
      <c r="Z96" s="7">
        <v>3210.3</v>
      </c>
      <c r="AB96" s="7">
        <v>14</v>
      </c>
      <c r="AD96" s="7">
        <v>20200</v>
      </c>
      <c r="AE96" s="7">
        <v>4607.75</v>
      </c>
      <c r="AG96" s="7">
        <v>860</v>
      </c>
      <c r="AI96" s="7">
        <v>126827.99</v>
      </c>
      <c r="AJ96" s="7">
        <v>7111.84</v>
      </c>
      <c r="AK96" s="7">
        <v>59342.25</v>
      </c>
      <c r="AS96" s="7">
        <v>17901.099999999999</v>
      </c>
      <c r="AU96" s="7">
        <v>2124</v>
      </c>
      <c r="AV96" s="7">
        <v>145635.20000000001</v>
      </c>
      <c r="AZ96" s="7">
        <v>20937.100000000009</v>
      </c>
      <c r="BA96" s="7">
        <v>84082.25</v>
      </c>
      <c r="BB96" s="7">
        <v>860.13</v>
      </c>
      <c r="BC96" s="7">
        <v>6739.74</v>
      </c>
      <c r="BE96" s="7">
        <v>39365.29</v>
      </c>
      <c r="BH96" s="7">
        <v>162381.47</v>
      </c>
      <c r="BJ96" s="7">
        <v>5925</v>
      </c>
      <c r="BL96" s="8">
        <f t="shared" si="9"/>
        <v>711263.29</v>
      </c>
      <c r="BM96" s="8">
        <f t="shared" si="10"/>
        <v>32029.93</v>
      </c>
      <c r="BN96" s="8">
        <f t="shared" si="11"/>
        <v>461211.28</v>
      </c>
    </row>
    <row r="97" spans="1:66" x14ac:dyDescent="0.25">
      <c r="A97" s="3" t="s">
        <v>444</v>
      </c>
      <c r="B97" s="3" t="s">
        <v>445</v>
      </c>
      <c r="C97" s="3" t="s">
        <v>442</v>
      </c>
      <c r="D97" s="3" t="s">
        <v>79</v>
      </c>
      <c r="I97" s="3" t="s">
        <v>80</v>
      </c>
      <c r="J97" s="3" t="s">
        <v>81</v>
      </c>
      <c r="K97" s="3" t="s">
        <v>72</v>
      </c>
      <c r="L97" s="3" t="s">
        <v>73</v>
      </c>
      <c r="M97" s="3" t="s">
        <v>74</v>
      </c>
      <c r="N97" s="3" t="s">
        <v>336</v>
      </c>
      <c r="O97" s="7">
        <v>938300</v>
      </c>
      <c r="P97" s="3">
        <v>2000</v>
      </c>
      <c r="Q97" s="7" t="s">
        <v>446</v>
      </c>
      <c r="R97" s="7" t="s">
        <v>128</v>
      </c>
      <c r="S97" s="7">
        <v>372</v>
      </c>
      <c r="T97" s="9">
        <f t="shared" si="8"/>
        <v>5.376344086021505</v>
      </c>
      <c r="V97" s="7">
        <v>14043.7</v>
      </c>
      <c r="W97" s="7">
        <v>7063.71</v>
      </c>
      <c r="Z97" s="7">
        <v>3151.21</v>
      </c>
      <c r="AD97" s="7">
        <v>10000</v>
      </c>
      <c r="AE97" s="7">
        <v>9258.39</v>
      </c>
      <c r="AG97" s="7">
        <v>260</v>
      </c>
      <c r="AI97" s="7">
        <v>133063.29999999999</v>
      </c>
      <c r="AJ97" s="7">
        <v>10925.67</v>
      </c>
      <c r="AK97" s="7">
        <v>53344.6</v>
      </c>
      <c r="AQ97" s="7">
        <v>1262.96</v>
      </c>
      <c r="AS97" s="7">
        <v>62642</v>
      </c>
      <c r="AU97" s="7">
        <v>786.42</v>
      </c>
      <c r="AV97" s="7">
        <v>138293.20000000001</v>
      </c>
      <c r="AZ97" s="7">
        <v>15585.820000000011</v>
      </c>
      <c r="BA97" s="7">
        <v>66240</v>
      </c>
      <c r="BB97" s="7">
        <v>936.26</v>
      </c>
      <c r="BC97" s="7">
        <v>4344.4399999999996</v>
      </c>
      <c r="BE97" s="7">
        <v>39448.71</v>
      </c>
      <c r="BH97" s="7">
        <v>148896</v>
      </c>
      <c r="BJ97" s="7">
        <v>4399.5600000000004</v>
      </c>
      <c r="BL97" s="8">
        <f t="shared" si="9"/>
        <v>723945.95</v>
      </c>
      <c r="BM97" s="8">
        <f t="shared" si="10"/>
        <v>43777.009999999995</v>
      </c>
      <c r="BN97" s="8">
        <f t="shared" si="11"/>
        <v>469939.97000000009</v>
      </c>
    </row>
    <row r="98" spans="1:66" x14ac:dyDescent="0.25">
      <c r="A98" s="3" t="s">
        <v>447</v>
      </c>
      <c r="B98" s="3" t="s">
        <v>448</v>
      </c>
      <c r="C98" s="3" t="s">
        <v>113</v>
      </c>
      <c r="D98" s="3" t="s">
        <v>79</v>
      </c>
      <c r="I98" s="3" t="s">
        <v>370</v>
      </c>
      <c r="J98" s="3" t="s">
        <v>81</v>
      </c>
      <c r="K98" s="3" t="s">
        <v>72</v>
      </c>
      <c r="L98" s="3" t="s">
        <v>73</v>
      </c>
      <c r="M98" s="3" t="s">
        <v>74</v>
      </c>
      <c r="N98" s="3" t="s">
        <v>336</v>
      </c>
      <c r="O98" s="5">
        <v>229000</v>
      </c>
      <c r="P98" s="3">
        <v>307</v>
      </c>
      <c r="Q98" s="4">
        <v>45887</v>
      </c>
      <c r="R98" s="3" t="s">
        <v>115</v>
      </c>
      <c r="S98" s="9">
        <v>195.66249999999999</v>
      </c>
      <c r="T98" s="9">
        <f t="shared" ref="T98:T129" si="12">P98/S98</f>
        <v>1.5690283012840989</v>
      </c>
      <c r="U98" s="8">
        <v>4682.34</v>
      </c>
      <c r="W98" s="8">
        <v>1604.66</v>
      </c>
      <c r="Z98" s="8">
        <v>3671.33</v>
      </c>
      <c r="AE98" s="8">
        <v>1547</v>
      </c>
      <c r="AI98" s="8">
        <v>76916.19</v>
      </c>
      <c r="AJ98" s="8">
        <v>12479.25</v>
      </c>
      <c r="AK98" s="8">
        <v>11481.75</v>
      </c>
      <c r="AQ98" s="8">
        <v>1079.6300000000001</v>
      </c>
      <c r="AS98" s="8">
        <v>11854.41</v>
      </c>
      <c r="AV98" s="8">
        <v>14725.15</v>
      </c>
      <c r="AZ98" s="8">
        <v>16445.419999999998</v>
      </c>
      <c r="BA98" s="8">
        <v>2084</v>
      </c>
      <c r="BB98" s="8">
        <v>128.58000000000001</v>
      </c>
      <c r="BC98" s="8">
        <v>2041.700000000001</v>
      </c>
      <c r="BD98" s="8">
        <v>16566</v>
      </c>
      <c r="BE98" s="8">
        <v>7169.58</v>
      </c>
      <c r="BH98" s="8">
        <v>25390.799999999999</v>
      </c>
      <c r="BJ98" s="8">
        <v>6826.5</v>
      </c>
      <c r="BL98" s="8">
        <f t="shared" ref="BL98:BL129" si="13">SUM(U98:BK98)</f>
        <v>216694.28999999998</v>
      </c>
      <c r="BM98" s="8">
        <f t="shared" ref="BM98:BM129" si="14">SUM(U98:AG98)-X98</f>
        <v>11505.33</v>
      </c>
      <c r="BN98" s="8">
        <f t="shared" ref="BN98:BN129" si="15">SUM(AK98:BJ98)-BA98-BD98</f>
        <v>97143.520000000019</v>
      </c>
    </row>
    <row r="99" spans="1:66" x14ac:dyDescent="0.25">
      <c r="A99" s="3" t="s">
        <v>449</v>
      </c>
      <c r="B99" s="3" t="s">
        <v>450</v>
      </c>
      <c r="C99" s="3" t="s">
        <v>92</v>
      </c>
      <c r="D99" s="3" t="s">
        <v>69</v>
      </c>
      <c r="F99" s="3">
        <v>2</v>
      </c>
      <c r="I99" s="3" t="s">
        <v>80</v>
      </c>
      <c r="J99" s="3" t="s">
        <v>81</v>
      </c>
      <c r="K99" s="3" t="s">
        <v>72</v>
      </c>
      <c r="L99" s="3" t="s">
        <v>73</v>
      </c>
      <c r="M99" s="3" t="s">
        <v>414</v>
      </c>
      <c r="N99" s="3" t="s">
        <v>72</v>
      </c>
      <c r="O99" s="5">
        <v>350000</v>
      </c>
      <c r="P99" s="3">
        <v>525</v>
      </c>
      <c r="Q99" s="3" t="s">
        <v>451</v>
      </c>
      <c r="R99" s="3" t="s">
        <v>415</v>
      </c>
      <c r="S99" s="9">
        <v>155.8125</v>
      </c>
      <c r="T99" s="9">
        <f t="shared" si="12"/>
        <v>3.3694344163658245</v>
      </c>
      <c r="U99" s="8">
        <v>347.01</v>
      </c>
      <c r="V99" s="8">
        <v>8517.19</v>
      </c>
      <c r="W99" s="8">
        <v>469.1</v>
      </c>
      <c r="Z99" s="8">
        <v>1896.38</v>
      </c>
      <c r="AD99" s="8">
        <v>885</v>
      </c>
      <c r="AE99" s="8">
        <v>1670</v>
      </c>
      <c r="AI99" s="8">
        <v>60202.66</v>
      </c>
      <c r="AJ99" s="8">
        <v>10387.69</v>
      </c>
      <c r="AK99" s="8">
        <v>11502.2</v>
      </c>
      <c r="AQ99" s="8">
        <v>210</v>
      </c>
      <c r="AS99" s="8">
        <v>7494</v>
      </c>
      <c r="AU99" s="8">
        <v>275</v>
      </c>
      <c r="AV99" s="8">
        <v>-2757.68</v>
      </c>
      <c r="AW99" s="8">
        <v>173.76</v>
      </c>
      <c r="AZ99" s="8">
        <v>16257.75</v>
      </c>
      <c r="BA99" s="8">
        <v>10734.3</v>
      </c>
      <c r="BB99" s="8">
        <v>1791.08</v>
      </c>
      <c r="BC99" s="8">
        <v>1302.8499999999999</v>
      </c>
      <c r="BD99" s="8">
        <v>605</v>
      </c>
      <c r="BE99" s="8">
        <v>12861.26</v>
      </c>
      <c r="BH99" s="8">
        <v>82073.86</v>
      </c>
      <c r="BJ99" s="8">
        <v>5179.8</v>
      </c>
      <c r="BL99" s="8">
        <f t="shared" si="13"/>
        <v>232078.21000000002</v>
      </c>
      <c r="BM99" s="8">
        <f t="shared" si="14"/>
        <v>13784.68</v>
      </c>
      <c r="BN99" s="8">
        <f t="shared" si="15"/>
        <v>136363.88</v>
      </c>
    </row>
    <row r="100" spans="1:66" x14ac:dyDescent="0.25">
      <c r="A100" s="3" t="s">
        <v>452</v>
      </c>
      <c r="B100" s="3" t="s">
        <v>453</v>
      </c>
      <c r="C100" s="3" t="s">
        <v>177</v>
      </c>
      <c r="D100" s="3" t="s">
        <v>79</v>
      </c>
      <c r="I100" s="3" t="s">
        <v>370</v>
      </c>
      <c r="J100" s="3" t="s">
        <v>81</v>
      </c>
      <c r="K100" s="3" t="s">
        <v>72</v>
      </c>
      <c r="L100" s="3" t="s">
        <v>73</v>
      </c>
      <c r="M100" s="3" t="s">
        <v>74</v>
      </c>
      <c r="N100" s="3" t="s">
        <v>336</v>
      </c>
      <c r="O100" s="5">
        <v>693900</v>
      </c>
      <c r="P100" s="3">
        <v>1277</v>
      </c>
      <c r="Q100" s="4">
        <v>45892</v>
      </c>
      <c r="R100" s="3" t="s">
        <v>115</v>
      </c>
      <c r="S100" s="9">
        <v>204.22499999999999</v>
      </c>
      <c r="T100" s="9">
        <f t="shared" si="12"/>
        <v>6.2529073325988493</v>
      </c>
      <c r="U100" s="8">
        <v>712</v>
      </c>
      <c r="V100" s="8">
        <v>4846</v>
      </c>
      <c r="W100" s="8">
        <v>4187.3100000000004</v>
      </c>
      <c r="Z100" s="8">
        <v>3920.93</v>
      </c>
      <c r="AE100" s="8">
        <v>7884</v>
      </c>
      <c r="AG100" s="8">
        <v>140</v>
      </c>
      <c r="AI100" s="8">
        <v>83875.63</v>
      </c>
      <c r="AJ100" s="8">
        <v>9896.48</v>
      </c>
      <c r="AK100" s="8">
        <v>29179.4</v>
      </c>
      <c r="AQ100" s="8">
        <v>2350.1799999999998</v>
      </c>
      <c r="AS100" s="8">
        <v>19509.32</v>
      </c>
      <c r="AV100" s="8">
        <v>66650.69</v>
      </c>
      <c r="AZ100" s="8">
        <v>13856.5</v>
      </c>
      <c r="BA100" s="8">
        <v>152175</v>
      </c>
      <c r="BC100" s="8">
        <v>7118</v>
      </c>
      <c r="BD100" s="8">
        <v>17170</v>
      </c>
      <c r="BE100" s="8">
        <v>36202.14</v>
      </c>
      <c r="BH100" s="8">
        <v>97331.4</v>
      </c>
      <c r="BJ100" s="8">
        <v>4595.6000000000004</v>
      </c>
      <c r="BL100" s="8">
        <f t="shared" si="13"/>
        <v>561600.57999999996</v>
      </c>
      <c r="BM100" s="8">
        <f t="shared" si="14"/>
        <v>21690.240000000002</v>
      </c>
      <c r="BN100" s="8">
        <f t="shared" si="15"/>
        <v>276793.23</v>
      </c>
    </row>
    <row r="101" spans="1:66" x14ac:dyDescent="0.25">
      <c r="A101" s="3" t="s">
        <v>454</v>
      </c>
      <c r="B101" s="3" t="s">
        <v>455</v>
      </c>
      <c r="C101" s="3" t="s">
        <v>68</v>
      </c>
      <c r="D101" s="3" t="s">
        <v>79</v>
      </c>
      <c r="I101" s="3" t="s">
        <v>370</v>
      </c>
      <c r="J101" s="3" t="s">
        <v>81</v>
      </c>
      <c r="K101" s="3" t="s">
        <v>72</v>
      </c>
      <c r="L101" s="3" t="s">
        <v>73</v>
      </c>
      <c r="M101" s="3" t="s">
        <v>74</v>
      </c>
      <c r="N101" s="3" t="s">
        <v>336</v>
      </c>
      <c r="O101" s="5">
        <v>511600</v>
      </c>
      <c r="P101" s="3">
        <v>897</v>
      </c>
      <c r="Q101" s="4">
        <v>45934</v>
      </c>
      <c r="R101" s="3" t="s">
        <v>403</v>
      </c>
      <c r="S101" s="9">
        <v>260.63125000000002</v>
      </c>
      <c r="T101" s="9">
        <f t="shared" si="12"/>
        <v>3.441644085273734</v>
      </c>
      <c r="U101" s="8">
        <v>3306.61</v>
      </c>
      <c r="V101" s="8">
        <v>4156</v>
      </c>
      <c r="W101" s="8">
        <v>570</v>
      </c>
      <c r="Z101" s="8">
        <v>3246.6</v>
      </c>
      <c r="AE101" s="8">
        <v>6456</v>
      </c>
      <c r="AI101" s="8">
        <v>101112.65</v>
      </c>
      <c r="AJ101" s="8">
        <v>11016.22</v>
      </c>
      <c r="AK101" s="8">
        <v>21740.5</v>
      </c>
      <c r="AQ101" s="8">
        <v>1525.42</v>
      </c>
      <c r="AS101" s="8">
        <v>20387.28</v>
      </c>
      <c r="AV101" s="8">
        <v>51190.44</v>
      </c>
      <c r="AZ101" s="8">
        <v>71524.759999999995</v>
      </c>
      <c r="BA101" s="8">
        <v>24523</v>
      </c>
      <c r="BC101" s="8">
        <v>3460.9700000000012</v>
      </c>
      <c r="BD101" s="8">
        <v>14630</v>
      </c>
      <c r="BE101" s="8">
        <v>27806.27</v>
      </c>
      <c r="BH101" s="8">
        <v>71940.600000000006</v>
      </c>
      <c r="BJ101" s="8">
        <v>4726.8</v>
      </c>
      <c r="BL101" s="8">
        <f t="shared" si="13"/>
        <v>443320.11999999994</v>
      </c>
      <c r="BM101" s="8">
        <f t="shared" si="14"/>
        <v>17735.21</v>
      </c>
      <c r="BN101" s="8">
        <f t="shared" si="15"/>
        <v>274303.03999999998</v>
      </c>
    </row>
    <row r="102" spans="1:66" x14ac:dyDescent="0.25">
      <c r="A102" s="3" t="s">
        <v>456</v>
      </c>
      <c r="B102" s="3" t="s">
        <v>457</v>
      </c>
      <c r="C102" s="3" t="s">
        <v>92</v>
      </c>
      <c r="D102" s="3" t="s">
        <v>79</v>
      </c>
      <c r="I102" s="3" t="s">
        <v>370</v>
      </c>
      <c r="J102" s="3" t="s">
        <v>81</v>
      </c>
      <c r="K102" s="3" t="s">
        <v>72</v>
      </c>
      <c r="L102" s="3" t="s">
        <v>73</v>
      </c>
      <c r="M102" s="3" t="s">
        <v>414</v>
      </c>
      <c r="N102" s="3" t="s">
        <v>336</v>
      </c>
      <c r="O102" s="5">
        <v>375900</v>
      </c>
      <c r="P102" s="3">
        <v>522</v>
      </c>
      <c r="Q102" s="4">
        <v>45849</v>
      </c>
      <c r="R102" s="3" t="s">
        <v>415</v>
      </c>
      <c r="S102" s="9">
        <v>195.47499999999999</v>
      </c>
      <c r="T102" s="9">
        <f t="shared" si="12"/>
        <v>2.6704182120475766</v>
      </c>
      <c r="U102" s="8">
        <v>2347.37</v>
      </c>
      <c r="V102" s="8">
        <v>4602</v>
      </c>
      <c r="W102" s="8">
        <v>2083.6799999999998</v>
      </c>
      <c r="Z102" s="8">
        <v>3646.59</v>
      </c>
      <c r="AB102" s="8">
        <v>18.8</v>
      </c>
      <c r="AE102" s="8">
        <v>6853.5</v>
      </c>
      <c r="AG102" s="8">
        <v>50</v>
      </c>
      <c r="AI102" s="8">
        <v>89934.25</v>
      </c>
      <c r="AJ102" s="8">
        <v>5741.22</v>
      </c>
      <c r="AK102" s="8">
        <v>10205.4</v>
      </c>
      <c r="AQ102" s="8">
        <v>1470.29</v>
      </c>
      <c r="AS102" s="8">
        <v>18562.27</v>
      </c>
      <c r="AV102" s="8">
        <v>24434.84</v>
      </c>
      <c r="AZ102" s="8">
        <v>28664.100000000009</v>
      </c>
      <c r="BA102" s="8">
        <v>46938</v>
      </c>
      <c r="BB102" s="8">
        <v>85.5</v>
      </c>
      <c r="BC102" s="8">
        <v>1934</v>
      </c>
      <c r="BD102" s="8">
        <v>8080</v>
      </c>
      <c r="BE102" s="8">
        <v>17539.52</v>
      </c>
      <c r="BH102" s="8">
        <v>42318</v>
      </c>
      <c r="BJ102" s="8">
        <v>6934.1</v>
      </c>
      <c r="BL102" s="8">
        <f t="shared" si="13"/>
        <v>322443.43</v>
      </c>
      <c r="BM102" s="8">
        <f t="shared" si="14"/>
        <v>19601.939999999999</v>
      </c>
      <c r="BN102" s="8">
        <f t="shared" si="15"/>
        <v>152148.02000000002</v>
      </c>
    </row>
    <row r="103" spans="1:66" x14ac:dyDescent="0.25">
      <c r="A103" s="3" t="s">
        <v>458</v>
      </c>
      <c r="B103" s="3" t="s">
        <v>459</v>
      </c>
      <c r="C103" s="3" t="s">
        <v>309</v>
      </c>
      <c r="D103" s="3" t="s">
        <v>93</v>
      </c>
      <c r="E103" t="s">
        <v>146</v>
      </c>
      <c r="F103" s="3" t="s">
        <v>146</v>
      </c>
      <c r="G103" s="3" t="s">
        <v>147</v>
      </c>
      <c r="H103" s="3" t="s">
        <v>96</v>
      </c>
      <c r="I103" s="3" t="s">
        <v>96</v>
      </c>
      <c r="O103" s="5">
        <v>224500</v>
      </c>
      <c r="P103" s="3">
        <v>453</v>
      </c>
      <c r="Q103" s="3" t="s">
        <v>460</v>
      </c>
      <c r="R103" s="3" t="s">
        <v>415</v>
      </c>
      <c r="S103" s="9">
        <v>97.625</v>
      </c>
      <c r="T103" s="9">
        <f t="shared" si="12"/>
        <v>4.6402048655569779</v>
      </c>
      <c r="U103" s="8">
        <v>4053.8</v>
      </c>
      <c r="V103" s="8">
        <v>1176.45</v>
      </c>
      <c r="W103" s="8">
        <v>587.66</v>
      </c>
      <c r="Z103" s="8">
        <v>1259.43</v>
      </c>
      <c r="AE103" s="8">
        <v>500</v>
      </c>
      <c r="AI103" s="8">
        <v>38780.6</v>
      </c>
      <c r="AJ103" s="8">
        <v>3204.98</v>
      </c>
      <c r="AK103" s="8">
        <v>253.59</v>
      </c>
      <c r="AL103" s="8">
        <v>351</v>
      </c>
      <c r="AN103" s="8">
        <v>5035</v>
      </c>
      <c r="AQ103" s="8">
        <v>800</v>
      </c>
      <c r="AS103" s="8">
        <v>5100</v>
      </c>
      <c r="AU103" s="8">
        <v>50181.5</v>
      </c>
      <c r="AV103" s="8">
        <v>124.59</v>
      </c>
      <c r="AZ103" s="8">
        <v>4436.0999999999995</v>
      </c>
      <c r="BA103" s="8">
        <v>2240.8000000000002</v>
      </c>
      <c r="BB103" s="8">
        <v>44.45</v>
      </c>
      <c r="BC103" s="8">
        <v>1785</v>
      </c>
      <c r="BE103" s="8">
        <v>7276.85</v>
      </c>
      <c r="BL103" s="8">
        <f t="shared" si="13"/>
        <v>127191.80000000002</v>
      </c>
      <c r="BM103" s="8">
        <f t="shared" si="14"/>
        <v>7577.34</v>
      </c>
      <c r="BN103" s="8">
        <f t="shared" si="15"/>
        <v>75388.08</v>
      </c>
    </row>
    <row r="104" spans="1:66" x14ac:dyDescent="0.25">
      <c r="A104" s="3" t="s">
        <v>461</v>
      </c>
      <c r="B104" s="3" t="s">
        <v>462</v>
      </c>
      <c r="C104" s="3" t="s">
        <v>190</v>
      </c>
      <c r="D104" s="3" t="s">
        <v>69</v>
      </c>
      <c r="F104" s="3">
        <v>0.5</v>
      </c>
      <c r="L104" s="3" t="s">
        <v>73</v>
      </c>
      <c r="M104" s="3" t="s">
        <v>74</v>
      </c>
      <c r="N104" s="3" t="s">
        <v>72</v>
      </c>
      <c r="O104" s="5">
        <v>129000</v>
      </c>
      <c r="P104" s="3">
        <v>140</v>
      </c>
      <c r="Q104" s="3" t="s">
        <v>463</v>
      </c>
      <c r="R104" s="3" t="s">
        <v>415</v>
      </c>
      <c r="S104" s="9">
        <v>82.75</v>
      </c>
      <c r="T104" s="9">
        <f t="shared" si="12"/>
        <v>1.6918429003021147</v>
      </c>
      <c r="U104" s="8">
        <v>1074.4000000000001</v>
      </c>
      <c r="V104" s="8">
        <v>4834.08</v>
      </c>
      <c r="W104" s="8">
        <v>846.39</v>
      </c>
      <c r="Z104" s="8">
        <v>1165.25</v>
      </c>
      <c r="AD104" s="8">
        <v>1500</v>
      </c>
      <c r="AE104" s="8">
        <v>870</v>
      </c>
      <c r="AI104" s="8">
        <v>33691.03</v>
      </c>
      <c r="AJ104" s="8">
        <v>4414.24</v>
      </c>
      <c r="AK104" s="8">
        <v>6513.39</v>
      </c>
      <c r="AQ104" s="8">
        <v>100</v>
      </c>
      <c r="AS104" s="8">
        <v>1572</v>
      </c>
      <c r="AZ104" s="8">
        <v>4887.7</v>
      </c>
      <c r="BA104" s="8"/>
      <c r="BB104" s="8">
        <v>561.11</v>
      </c>
      <c r="BC104" s="8">
        <v>1382.48</v>
      </c>
      <c r="BD104" s="8">
        <v>4645</v>
      </c>
      <c r="BE104" s="8">
        <v>3114.27</v>
      </c>
      <c r="BF104" s="8">
        <v>1134.53</v>
      </c>
      <c r="BH104" s="8">
        <v>14870.98</v>
      </c>
      <c r="BJ104" s="8">
        <v>3658.8</v>
      </c>
      <c r="BL104" s="8">
        <f t="shared" si="13"/>
        <v>90835.65</v>
      </c>
      <c r="BM104" s="8">
        <f t="shared" si="14"/>
        <v>10290.119999999999</v>
      </c>
      <c r="BN104" s="8">
        <f t="shared" si="15"/>
        <v>37795.26</v>
      </c>
    </row>
    <row r="105" spans="1:66" x14ac:dyDescent="0.25">
      <c r="A105" s="3" t="s">
        <v>464</v>
      </c>
      <c r="B105" s="3" t="s">
        <v>465</v>
      </c>
      <c r="C105" s="3" t="s">
        <v>125</v>
      </c>
      <c r="D105" s="3" t="s">
        <v>126</v>
      </c>
      <c r="O105" s="5">
        <v>528850</v>
      </c>
      <c r="P105" s="3">
        <v>245</v>
      </c>
      <c r="Q105" s="3" t="s">
        <v>466</v>
      </c>
      <c r="R105" s="3" t="s">
        <v>403</v>
      </c>
      <c r="S105" s="9">
        <v>419.6875</v>
      </c>
      <c r="T105" s="9">
        <f t="shared" si="12"/>
        <v>0.58376768428890546</v>
      </c>
      <c r="U105" s="8">
        <v>6290.62</v>
      </c>
      <c r="V105" s="8">
        <v>7597.41</v>
      </c>
      <c r="W105" s="8">
        <v>1488</v>
      </c>
      <c r="Z105" s="8">
        <v>12082.48</v>
      </c>
      <c r="AD105" s="8">
        <v>1420</v>
      </c>
      <c r="AE105" s="8">
        <v>73751</v>
      </c>
      <c r="AH105" s="27">
        <v>81650</v>
      </c>
      <c r="AI105" s="8">
        <v>169961.07</v>
      </c>
      <c r="AJ105" s="8">
        <v>14173.36</v>
      </c>
      <c r="AK105" s="8">
        <v>12346.22</v>
      </c>
      <c r="AL105" s="8">
        <v>45</v>
      </c>
      <c r="AN105" s="8">
        <v>135</v>
      </c>
      <c r="AO105" s="8">
        <v>13010.23</v>
      </c>
      <c r="AP105" s="8">
        <v>1687.8</v>
      </c>
      <c r="AQ105" s="8">
        <v>13740.47</v>
      </c>
      <c r="AS105" s="8">
        <v>29420.06</v>
      </c>
      <c r="AV105" s="8">
        <v>13518.65</v>
      </c>
      <c r="AY105" s="8">
        <v>275</v>
      </c>
      <c r="AZ105" s="8">
        <v>10643</v>
      </c>
      <c r="BA105" s="8"/>
      <c r="BB105" s="8">
        <v>3488.83</v>
      </c>
      <c r="BC105" s="8">
        <v>5682.4199999999983</v>
      </c>
      <c r="BD105" s="8">
        <v>10800</v>
      </c>
      <c r="BE105" s="8">
        <v>10688.56</v>
      </c>
      <c r="BH105" s="8">
        <v>17505</v>
      </c>
      <c r="BJ105" s="8">
        <v>6949</v>
      </c>
      <c r="BL105" s="8">
        <f t="shared" si="13"/>
        <v>518349.17999999993</v>
      </c>
      <c r="BM105" s="8">
        <f t="shared" si="14"/>
        <v>102629.51</v>
      </c>
      <c r="BN105" s="8">
        <f t="shared" si="15"/>
        <v>139135.24</v>
      </c>
    </row>
    <row r="106" spans="1:66" x14ac:dyDescent="0.25">
      <c r="A106" s="3" t="s">
        <v>467</v>
      </c>
      <c r="B106" s="3" t="s">
        <v>468</v>
      </c>
      <c r="C106" s="3" t="s">
        <v>469</v>
      </c>
      <c r="D106" s="3" t="s">
        <v>126</v>
      </c>
      <c r="O106" s="5">
        <v>262000</v>
      </c>
      <c r="P106" s="3">
        <v>175</v>
      </c>
      <c r="Q106" s="4">
        <v>45905</v>
      </c>
      <c r="R106" s="3" t="s">
        <v>115</v>
      </c>
      <c r="S106" s="9">
        <v>120</v>
      </c>
      <c r="T106" s="9">
        <f t="shared" si="12"/>
        <v>1.4583333333333333</v>
      </c>
      <c r="U106" s="8">
        <v>2320.84</v>
      </c>
      <c r="V106" s="8">
        <v>1280.56</v>
      </c>
      <c r="Z106" s="8">
        <v>1374.64</v>
      </c>
      <c r="AD106" s="8">
        <v>1530</v>
      </c>
      <c r="AE106" s="8">
        <v>13600</v>
      </c>
      <c r="AI106" s="8">
        <v>48297.65</v>
      </c>
      <c r="AJ106" s="8">
        <v>5010.3999999999996</v>
      </c>
      <c r="AK106" s="8">
        <v>1780.01</v>
      </c>
      <c r="AS106" s="8">
        <v>8654.2199999999993</v>
      </c>
      <c r="AU106" s="8">
        <v>240</v>
      </c>
      <c r="AZ106" s="8">
        <v>19621.599999999999</v>
      </c>
      <c r="BA106" s="8"/>
      <c r="BB106" s="8">
        <v>440.71</v>
      </c>
      <c r="BC106" s="8">
        <v>1680.5</v>
      </c>
      <c r="BE106" s="8">
        <v>6774.47</v>
      </c>
      <c r="BH106" s="8">
        <v>5326.84</v>
      </c>
      <c r="BI106" s="8">
        <v>31833.4</v>
      </c>
      <c r="BJ106" s="8">
        <v>6548.18</v>
      </c>
      <c r="BL106" s="8">
        <f t="shared" si="13"/>
        <v>156314.01999999999</v>
      </c>
      <c r="BM106" s="8">
        <f t="shared" si="14"/>
        <v>20106.04</v>
      </c>
      <c r="BN106" s="8">
        <f t="shared" si="15"/>
        <v>82899.929999999993</v>
      </c>
    </row>
    <row r="107" spans="1:66" x14ac:dyDescent="0.25">
      <c r="A107" s="3" t="s">
        <v>470</v>
      </c>
      <c r="B107" s="3" t="s">
        <v>471</v>
      </c>
      <c r="C107" s="3" t="s">
        <v>68</v>
      </c>
      <c r="D107" s="3" t="s">
        <v>79</v>
      </c>
      <c r="I107" s="3" t="s">
        <v>80</v>
      </c>
      <c r="J107" s="3" t="s">
        <v>81</v>
      </c>
      <c r="K107" s="3" t="s">
        <v>72</v>
      </c>
      <c r="L107" s="3" t="s">
        <v>228</v>
      </c>
      <c r="M107" s="3" t="s">
        <v>280</v>
      </c>
      <c r="N107" s="3" t="s">
        <v>72</v>
      </c>
      <c r="O107" s="7">
        <v>655500</v>
      </c>
      <c r="P107" s="3">
        <v>1061</v>
      </c>
      <c r="Q107" s="25">
        <v>45919</v>
      </c>
      <c r="R107" s="7" t="s">
        <v>128</v>
      </c>
      <c r="S107" s="7">
        <v>362.71875</v>
      </c>
      <c r="T107" s="9">
        <f t="shared" si="12"/>
        <v>2.925131386232446</v>
      </c>
      <c r="U107" s="7">
        <v>3857.16</v>
      </c>
      <c r="V107" s="7">
        <v>10811</v>
      </c>
      <c r="W107" s="7">
        <v>2536</v>
      </c>
      <c r="Z107" s="7">
        <v>3243.53</v>
      </c>
      <c r="AD107" s="7">
        <v>5305</v>
      </c>
      <c r="AE107" s="7">
        <v>14408.57</v>
      </c>
      <c r="AG107" s="7">
        <v>795</v>
      </c>
      <c r="AH107" s="27">
        <v>9815</v>
      </c>
      <c r="AI107" s="7">
        <v>136400.4</v>
      </c>
      <c r="AJ107" s="7">
        <v>16069.77</v>
      </c>
      <c r="AK107" s="7">
        <v>32249.49</v>
      </c>
      <c r="AQ107" s="7">
        <v>2816.49</v>
      </c>
      <c r="AS107" s="7">
        <v>23087</v>
      </c>
      <c r="AU107" s="7">
        <v>240</v>
      </c>
      <c r="AV107" s="7">
        <v>75497.399999999994</v>
      </c>
      <c r="AZ107" s="7">
        <v>54140.91</v>
      </c>
      <c r="BA107" s="7">
        <v>66275</v>
      </c>
      <c r="BB107" s="7">
        <v>1050.3</v>
      </c>
      <c r="BC107" s="7">
        <v>3178.29</v>
      </c>
      <c r="BE107" s="7">
        <v>34786.03</v>
      </c>
      <c r="BH107" s="7">
        <v>92953.34</v>
      </c>
      <c r="BJ107" s="7">
        <v>6226.73</v>
      </c>
      <c r="BL107" s="8">
        <f t="shared" si="13"/>
        <v>595742.40999999992</v>
      </c>
      <c r="BM107" s="8">
        <f t="shared" si="14"/>
        <v>40956.259999999995</v>
      </c>
      <c r="BN107" s="8">
        <f t="shared" si="15"/>
        <v>326225.98</v>
      </c>
    </row>
    <row r="108" spans="1:66" x14ac:dyDescent="0.25">
      <c r="A108" s="3" t="s">
        <v>472</v>
      </c>
      <c r="B108" s="3" t="s">
        <v>473</v>
      </c>
      <c r="C108" s="3" t="s">
        <v>474</v>
      </c>
      <c r="D108" s="3" t="s">
        <v>69</v>
      </c>
      <c r="F108" s="3">
        <v>4</v>
      </c>
      <c r="G108" s="3" t="s">
        <v>475</v>
      </c>
      <c r="H108" s="3" t="s">
        <v>173</v>
      </c>
      <c r="I108" s="3" t="s">
        <v>70</v>
      </c>
      <c r="J108" s="3" t="s">
        <v>81</v>
      </c>
      <c r="K108" s="3" t="s">
        <v>173</v>
      </c>
      <c r="L108" s="3" t="s">
        <v>171</v>
      </c>
      <c r="M108" s="3" t="s">
        <v>172</v>
      </c>
      <c r="N108" s="3" t="s">
        <v>173</v>
      </c>
      <c r="O108" s="5">
        <v>482200</v>
      </c>
      <c r="P108" s="3">
        <v>207</v>
      </c>
      <c r="Q108" s="3" t="s">
        <v>476</v>
      </c>
      <c r="R108" s="3" t="s">
        <v>115</v>
      </c>
      <c r="S108" s="9">
        <v>174.75</v>
      </c>
      <c r="T108" s="9">
        <f t="shared" si="12"/>
        <v>1.1845493562231759</v>
      </c>
      <c r="U108" s="8">
        <v>19481.009999999998</v>
      </c>
      <c r="V108" s="8">
        <v>8345.07</v>
      </c>
      <c r="W108" s="8">
        <v>703.64999999999964</v>
      </c>
      <c r="Z108" s="8">
        <v>2720.96</v>
      </c>
      <c r="AD108" s="8">
        <v>3315</v>
      </c>
      <c r="AE108" s="8">
        <v>7032.86</v>
      </c>
      <c r="AH108" s="8">
        <v>9344</v>
      </c>
      <c r="AI108" s="8">
        <v>70829.61</v>
      </c>
      <c r="AJ108" s="8">
        <v>6305.19</v>
      </c>
      <c r="AK108" s="8">
        <v>1362.48</v>
      </c>
      <c r="AS108" s="8">
        <v>5255.9</v>
      </c>
      <c r="AV108" s="8">
        <v>46799.79</v>
      </c>
      <c r="AZ108" s="8">
        <v>51628.42</v>
      </c>
      <c r="BA108" s="8">
        <v>17374.5</v>
      </c>
      <c r="BB108" s="8">
        <v>2396.5100000000002</v>
      </c>
      <c r="BC108" s="8">
        <v>2057.98</v>
      </c>
      <c r="BD108" s="8">
        <v>1001</v>
      </c>
      <c r="BE108" s="8">
        <v>17501.22</v>
      </c>
      <c r="BH108" s="8">
        <v>3770.94</v>
      </c>
      <c r="BI108" s="8">
        <v>40250</v>
      </c>
      <c r="BJ108" s="8">
        <v>3996.05</v>
      </c>
      <c r="BK108" s="8">
        <v>8561.31</v>
      </c>
      <c r="BL108" s="8">
        <f t="shared" si="13"/>
        <v>330033.45</v>
      </c>
      <c r="BM108" s="8">
        <f t="shared" si="14"/>
        <v>41598.549999999996</v>
      </c>
      <c r="BN108" s="8">
        <f t="shared" si="15"/>
        <v>175019.28999999998</v>
      </c>
    </row>
    <row r="109" spans="1:66" x14ac:dyDescent="0.25">
      <c r="A109" s="3" t="s">
        <v>477</v>
      </c>
      <c r="B109" s="3" t="s">
        <v>478</v>
      </c>
      <c r="C109" s="3" t="s">
        <v>186</v>
      </c>
      <c r="D109" s="3" t="s">
        <v>93</v>
      </c>
      <c r="E109" t="s">
        <v>119</v>
      </c>
      <c r="F109" s="3" t="s">
        <v>119</v>
      </c>
      <c r="G109" s="3" t="s">
        <v>120</v>
      </c>
      <c r="H109" s="3" t="s">
        <v>96</v>
      </c>
      <c r="I109" s="3" t="s">
        <v>96</v>
      </c>
      <c r="O109" s="5">
        <v>36800</v>
      </c>
      <c r="P109" s="3">
        <v>22</v>
      </c>
      <c r="Q109" s="3" t="s">
        <v>363</v>
      </c>
      <c r="R109" s="3" t="s">
        <v>115</v>
      </c>
      <c r="S109" s="9">
        <v>34</v>
      </c>
      <c r="T109" s="9">
        <f t="shared" si="12"/>
        <v>0.6470588235294118</v>
      </c>
      <c r="Z109" s="8">
        <v>722.95</v>
      </c>
      <c r="AI109" s="8">
        <v>13668.37</v>
      </c>
      <c r="AJ109" s="8">
        <v>1505.24</v>
      </c>
      <c r="AS109" s="8">
        <v>4008.49</v>
      </c>
      <c r="AU109" s="8">
        <v>2240</v>
      </c>
      <c r="AZ109" s="8">
        <v>3556</v>
      </c>
      <c r="BA109" s="8"/>
      <c r="BB109" s="8">
        <v>583.38</v>
      </c>
      <c r="BC109" s="8">
        <v>410</v>
      </c>
      <c r="BD109" s="8"/>
      <c r="BL109" s="8">
        <f t="shared" si="13"/>
        <v>26694.430000000004</v>
      </c>
      <c r="BM109" s="8">
        <f t="shared" si="14"/>
        <v>722.95</v>
      </c>
      <c r="BN109" s="8">
        <f t="shared" si="15"/>
        <v>10797.869999999999</v>
      </c>
    </row>
    <row r="110" spans="1:66" x14ac:dyDescent="0.25">
      <c r="A110" s="3" t="s">
        <v>479</v>
      </c>
      <c r="B110" s="3" t="s">
        <v>480</v>
      </c>
      <c r="C110" s="3" t="s">
        <v>92</v>
      </c>
      <c r="D110" s="3" t="s">
        <v>126</v>
      </c>
      <c r="O110" s="5">
        <v>128750</v>
      </c>
      <c r="P110" s="3">
        <v>221</v>
      </c>
      <c r="Q110" s="3" t="s">
        <v>322</v>
      </c>
      <c r="R110" s="3" t="s">
        <v>415</v>
      </c>
      <c r="S110" s="9">
        <v>128.75</v>
      </c>
      <c r="T110" s="9">
        <f t="shared" si="12"/>
        <v>1.7165048543689321</v>
      </c>
      <c r="V110" s="8">
        <v>1684.91</v>
      </c>
      <c r="W110" s="8">
        <v>380</v>
      </c>
      <c r="Z110" s="8">
        <v>1345.77</v>
      </c>
      <c r="AG110" s="8">
        <v>40</v>
      </c>
      <c r="AI110" s="8">
        <v>52042</v>
      </c>
      <c r="AJ110" s="8">
        <v>4246.63</v>
      </c>
      <c r="AK110" s="8">
        <v>1647.3</v>
      </c>
      <c r="AQ110" s="8">
        <v>236.72</v>
      </c>
      <c r="AS110" s="8">
        <v>3430.48</v>
      </c>
      <c r="AZ110" s="8">
        <v>5297.5</v>
      </c>
      <c r="BA110" s="8"/>
      <c r="BB110" s="8">
        <v>190.76</v>
      </c>
      <c r="BC110" s="8">
        <v>2161.5</v>
      </c>
      <c r="BD110" s="8">
        <v>10300</v>
      </c>
      <c r="BE110" s="8">
        <v>1129.06</v>
      </c>
      <c r="BH110" s="8">
        <v>3670</v>
      </c>
      <c r="BL110" s="8">
        <f t="shared" si="13"/>
        <v>87802.62999999999</v>
      </c>
      <c r="BM110" s="8">
        <f t="shared" si="14"/>
        <v>3450.68</v>
      </c>
      <c r="BN110" s="8">
        <f t="shared" si="15"/>
        <v>17763.320000000003</v>
      </c>
    </row>
    <row r="111" spans="1:66" x14ac:dyDescent="0.25">
      <c r="A111" s="3" t="s">
        <v>481</v>
      </c>
      <c r="B111" s="3" t="s">
        <v>482</v>
      </c>
      <c r="C111" s="3" t="s">
        <v>68</v>
      </c>
      <c r="D111" s="3" t="s">
        <v>126</v>
      </c>
      <c r="O111" s="5">
        <v>340650</v>
      </c>
      <c r="P111" s="3">
        <v>446</v>
      </c>
      <c r="Q111" s="3" t="s">
        <v>483</v>
      </c>
      <c r="R111" s="3" t="s">
        <v>115</v>
      </c>
      <c r="S111" s="9">
        <v>88.125</v>
      </c>
      <c r="T111" s="9">
        <f t="shared" si="12"/>
        <v>5.0609929078014186</v>
      </c>
      <c r="U111" s="8">
        <v>3223</v>
      </c>
      <c r="V111" s="8">
        <v>10806</v>
      </c>
      <c r="W111" s="8">
        <v>200</v>
      </c>
      <c r="Z111" s="8">
        <v>1107.79</v>
      </c>
      <c r="AE111" s="8">
        <v>7354.7900000000009</v>
      </c>
      <c r="AH111" s="27">
        <v>12600</v>
      </c>
      <c r="AI111" s="8">
        <v>36064.1</v>
      </c>
      <c r="AJ111" s="8">
        <v>2016.84</v>
      </c>
      <c r="AK111" s="8">
        <v>11584.72</v>
      </c>
      <c r="AQ111" s="8">
        <v>1031.97</v>
      </c>
      <c r="AS111" s="8">
        <v>1399.25</v>
      </c>
      <c r="AV111" s="8">
        <v>24778.560000000001</v>
      </c>
      <c r="AZ111" s="8">
        <v>10570.92</v>
      </c>
      <c r="BA111" s="8">
        <v>30112</v>
      </c>
      <c r="BC111" s="8">
        <v>2400.2800000000002</v>
      </c>
      <c r="BE111" s="8">
        <v>15753.12</v>
      </c>
      <c r="BH111" s="8">
        <v>66007.850000000006</v>
      </c>
      <c r="BJ111" s="8">
        <v>2345.4</v>
      </c>
      <c r="BL111" s="8">
        <f t="shared" si="13"/>
        <v>239356.59</v>
      </c>
      <c r="BM111" s="8">
        <f t="shared" si="14"/>
        <v>22691.58</v>
      </c>
      <c r="BN111" s="8">
        <f t="shared" si="15"/>
        <v>135872.06999999998</v>
      </c>
    </row>
    <row r="112" spans="1:66" x14ac:dyDescent="0.25">
      <c r="A112" s="3" t="s">
        <v>484</v>
      </c>
      <c r="B112" s="3" t="s">
        <v>485</v>
      </c>
      <c r="C112" s="3" t="s">
        <v>68</v>
      </c>
      <c r="D112" s="3" t="s">
        <v>79</v>
      </c>
      <c r="L112" s="3" t="s">
        <v>228</v>
      </c>
      <c r="M112" s="3" t="s">
        <v>172</v>
      </c>
      <c r="N112" s="3" t="s">
        <v>72</v>
      </c>
      <c r="O112" s="7">
        <v>369002</v>
      </c>
      <c r="P112" s="3">
        <v>362</v>
      </c>
      <c r="Q112" s="7" t="s">
        <v>486</v>
      </c>
      <c r="R112" s="7" t="s">
        <v>128</v>
      </c>
      <c r="S112" s="7">
        <v>188.03125</v>
      </c>
      <c r="T112" s="9">
        <f t="shared" si="12"/>
        <v>1.9252118996177496</v>
      </c>
      <c r="U112" s="7">
        <v>2346.3200000000002</v>
      </c>
      <c r="V112" s="7">
        <v>4486</v>
      </c>
      <c r="W112" s="7">
        <v>2629.6</v>
      </c>
      <c r="Z112" s="7">
        <v>1614.96</v>
      </c>
      <c r="AD112" s="7">
        <v>3960</v>
      </c>
      <c r="AE112" s="7">
        <v>6552.77</v>
      </c>
      <c r="AG112" s="7">
        <v>80</v>
      </c>
      <c r="AI112" s="7">
        <v>78278.87</v>
      </c>
      <c r="AJ112" s="7">
        <v>6625.6</v>
      </c>
      <c r="AK112" s="7">
        <v>14123.21</v>
      </c>
      <c r="AL112" s="7">
        <v>45</v>
      </c>
      <c r="AN112" s="7">
        <v>90</v>
      </c>
      <c r="AQ112" s="7">
        <v>1003.91</v>
      </c>
      <c r="AS112" s="7">
        <v>3907.5</v>
      </c>
      <c r="AV112" s="7">
        <v>5425.86</v>
      </c>
      <c r="AZ112" s="7">
        <v>10258.68</v>
      </c>
      <c r="BB112" s="7">
        <v>67.95</v>
      </c>
      <c r="BC112" s="7">
        <v>3063.599999999999</v>
      </c>
      <c r="BD112" s="7">
        <v>18335</v>
      </c>
      <c r="BE112" s="7">
        <v>13395.72</v>
      </c>
      <c r="BF112" s="7">
        <v>31379.040000000001</v>
      </c>
      <c r="BH112" s="7">
        <v>12422.09</v>
      </c>
      <c r="BI112" s="7">
        <v>50000</v>
      </c>
      <c r="BJ112" s="7">
        <v>5750</v>
      </c>
      <c r="BL112" s="8">
        <f t="shared" si="13"/>
        <v>275841.68</v>
      </c>
      <c r="BM112" s="8">
        <f t="shared" si="14"/>
        <v>21669.65</v>
      </c>
      <c r="BN112" s="8">
        <f t="shared" si="15"/>
        <v>150932.56</v>
      </c>
    </row>
    <row r="113" spans="1:66" x14ac:dyDescent="0.25">
      <c r="A113" s="3" t="s">
        <v>487</v>
      </c>
      <c r="B113" s="3" t="s">
        <v>488</v>
      </c>
      <c r="C113" s="3" t="s">
        <v>489</v>
      </c>
      <c r="D113" s="3" t="s">
        <v>79</v>
      </c>
      <c r="I113" s="3" t="s">
        <v>80</v>
      </c>
      <c r="J113" s="3" t="s">
        <v>81</v>
      </c>
      <c r="K113" s="3" t="s">
        <v>72</v>
      </c>
      <c r="L113" s="3" t="s">
        <v>73</v>
      </c>
      <c r="M113" s="3" t="s">
        <v>74</v>
      </c>
      <c r="N113" s="3" t="s">
        <v>72</v>
      </c>
      <c r="O113" s="7">
        <v>1182700</v>
      </c>
      <c r="P113" s="3">
        <v>1036</v>
      </c>
      <c r="Q113" s="7" t="s">
        <v>490</v>
      </c>
      <c r="R113" s="7" t="s">
        <v>128</v>
      </c>
      <c r="S113" s="7">
        <v>362.6875</v>
      </c>
      <c r="T113" s="9">
        <f t="shared" si="12"/>
        <v>2.8564535585042221</v>
      </c>
      <c r="V113" s="7">
        <v>3900.08</v>
      </c>
      <c r="W113" s="7">
        <v>2128.12</v>
      </c>
      <c r="X113" s="7">
        <v>47820</v>
      </c>
      <c r="Z113" s="7">
        <v>4404.92</v>
      </c>
      <c r="AD113" s="7">
        <v>9450</v>
      </c>
      <c r="AE113" s="7">
        <v>11882</v>
      </c>
      <c r="AH113" s="27">
        <v>13040</v>
      </c>
      <c r="AI113" s="7">
        <v>142917.91</v>
      </c>
      <c r="AJ113" s="7">
        <v>13764.91</v>
      </c>
      <c r="AK113" s="7">
        <v>37184.519999999997</v>
      </c>
      <c r="AQ113" s="7">
        <v>1719.58</v>
      </c>
      <c r="AS113" s="7">
        <v>17595.93</v>
      </c>
      <c r="AU113" s="7">
        <v>240</v>
      </c>
      <c r="AV113" s="7">
        <v>83359.490000000005</v>
      </c>
      <c r="AZ113" s="7">
        <v>88413.31</v>
      </c>
      <c r="BA113" s="7">
        <v>2630.08</v>
      </c>
      <c r="BB113" s="7">
        <v>3820</v>
      </c>
      <c r="BC113" s="7">
        <v>7611.23</v>
      </c>
      <c r="BE113" s="7">
        <v>32748.400000000001</v>
      </c>
      <c r="BF113" s="7">
        <v>170.27</v>
      </c>
      <c r="BH113" s="7">
        <v>87179</v>
      </c>
      <c r="BJ113" s="7">
        <v>14041.1</v>
      </c>
      <c r="BL113" s="8">
        <f t="shared" si="13"/>
        <v>626020.85</v>
      </c>
      <c r="BM113" s="8">
        <f t="shared" si="14"/>
        <v>31765.119999999995</v>
      </c>
      <c r="BN113" s="8">
        <f t="shared" si="15"/>
        <v>374082.83</v>
      </c>
    </row>
    <row r="114" spans="1:66" x14ac:dyDescent="0.25">
      <c r="A114" s="3" t="s">
        <v>491</v>
      </c>
      <c r="B114" s="3" t="s">
        <v>492</v>
      </c>
      <c r="C114" s="3" t="s">
        <v>493</v>
      </c>
      <c r="D114" s="3" t="s">
        <v>126</v>
      </c>
      <c r="O114" s="5">
        <v>666500</v>
      </c>
      <c r="P114" s="3">
        <v>563</v>
      </c>
      <c r="Q114" s="3" t="s">
        <v>494</v>
      </c>
      <c r="R114" s="3" t="s">
        <v>115</v>
      </c>
      <c r="S114" s="9">
        <v>479.625</v>
      </c>
      <c r="T114" s="9">
        <f t="shared" si="12"/>
        <v>1.1738337242637478</v>
      </c>
      <c r="U114" s="8">
        <v>8709.9599999999991</v>
      </c>
      <c r="V114" s="8">
        <v>11934.84</v>
      </c>
      <c r="W114" s="8">
        <v>3969.35</v>
      </c>
      <c r="Z114" s="8">
        <v>11000.5</v>
      </c>
      <c r="AD114" s="8">
        <v>4210</v>
      </c>
      <c r="AE114" s="8">
        <v>10500.72</v>
      </c>
      <c r="AG114" s="8">
        <v>100</v>
      </c>
      <c r="AH114" s="27">
        <v>4000</v>
      </c>
      <c r="AI114" s="8">
        <v>181025.5</v>
      </c>
      <c r="AJ114" s="8">
        <v>33971.31</v>
      </c>
      <c r="AK114" s="8">
        <v>24417.57</v>
      </c>
      <c r="AO114" s="8">
        <v>14072.31</v>
      </c>
      <c r="AP114" s="8">
        <v>995.06</v>
      </c>
      <c r="AQ114" s="8">
        <v>2705</v>
      </c>
      <c r="AS114" s="8">
        <v>23270.67</v>
      </c>
      <c r="AV114" s="8">
        <v>31802.18</v>
      </c>
      <c r="AY114" s="8">
        <v>1672</v>
      </c>
      <c r="AZ114" s="8">
        <v>39587.379999999997</v>
      </c>
      <c r="BA114" s="8">
        <v>30915.37</v>
      </c>
      <c r="BB114" s="8">
        <v>2640.44</v>
      </c>
      <c r="BC114" s="8">
        <v>6269.53</v>
      </c>
      <c r="BD114" s="8"/>
      <c r="BE114" s="8">
        <v>15039.73</v>
      </c>
      <c r="BF114" s="8">
        <v>934.72</v>
      </c>
      <c r="BH114" s="8">
        <v>43012.01</v>
      </c>
      <c r="BJ114" s="8">
        <v>6756.14</v>
      </c>
      <c r="BL114" s="8">
        <f t="shared" si="13"/>
        <v>513512.29</v>
      </c>
      <c r="BM114" s="8">
        <f t="shared" si="14"/>
        <v>50425.369999999995</v>
      </c>
      <c r="BN114" s="8">
        <f t="shared" si="15"/>
        <v>213174.74000000002</v>
      </c>
    </row>
    <row r="115" spans="1:66" x14ac:dyDescent="0.25">
      <c r="A115" s="3" t="s">
        <v>495</v>
      </c>
      <c r="B115" s="3" t="s">
        <v>496</v>
      </c>
      <c r="C115" s="3" t="s">
        <v>131</v>
      </c>
      <c r="D115" s="3" t="s">
        <v>93</v>
      </c>
      <c r="E115" t="s">
        <v>102</v>
      </c>
      <c r="F115" s="3" t="s">
        <v>102</v>
      </c>
      <c r="G115" s="3" t="s">
        <v>96</v>
      </c>
      <c r="H115" s="3" t="s">
        <v>96</v>
      </c>
      <c r="O115" s="5">
        <v>242800</v>
      </c>
      <c r="P115" s="3">
        <v>574</v>
      </c>
      <c r="Q115" s="3" t="s">
        <v>497</v>
      </c>
      <c r="R115" s="3" t="s">
        <v>115</v>
      </c>
      <c r="S115" s="9">
        <v>66.75</v>
      </c>
      <c r="T115" s="9">
        <f t="shared" si="12"/>
        <v>8.5992509363295877</v>
      </c>
      <c r="V115" s="8">
        <v>1029.21</v>
      </c>
      <c r="W115" s="8">
        <v>619.14</v>
      </c>
      <c r="Z115" s="8">
        <v>1118.94</v>
      </c>
      <c r="AE115" s="8">
        <v>1625</v>
      </c>
      <c r="AI115" s="8">
        <v>25936.94</v>
      </c>
      <c r="AJ115" s="8">
        <v>6757.27</v>
      </c>
      <c r="AK115" s="8">
        <v>475</v>
      </c>
      <c r="AN115" s="8">
        <v>260</v>
      </c>
      <c r="AS115" s="8">
        <v>440</v>
      </c>
      <c r="AU115" s="8">
        <v>24876</v>
      </c>
      <c r="AV115" s="8">
        <v>104</v>
      </c>
      <c r="AZ115" s="8">
        <v>9547.2000000000007</v>
      </c>
      <c r="BA115" s="8">
        <v>11492</v>
      </c>
      <c r="BB115" s="8">
        <v>75</v>
      </c>
      <c r="BC115" s="8">
        <v>69</v>
      </c>
      <c r="BE115" s="8">
        <v>3315.01</v>
      </c>
      <c r="BH115" s="8">
        <v>838</v>
      </c>
      <c r="BJ115" s="8">
        <v>508</v>
      </c>
      <c r="BL115" s="8">
        <f t="shared" si="13"/>
        <v>89085.709999999992</v>
      </c>
      <c r="BM115" s="8">
        <f t="shared" si="14"/>
        <v>4392.29</v>
      </c>
      <c r="BN115" s="8">
        <f t="shared" si="15"/>
        <v>40507.21</v>
      </c>
    </row>
    <row r="116" spans="1:66" x14ac:dyDescent="0.25">
      <c r="A116" s="3" t="s">
        <v>498</v>
      </c>
      <c r="B116" s="3" t="s">
        <v>249</v>
      </c>
      <c r="C116" s="3" t="s">
        <v>240</v>
      </c>
      <c r="D116" s="3" t="s">
        <v>93</v>
      </c>
      <c r="E116" t="s">
        <v>160</v>
      </c>
      <c r="F116" s="3" t="s">
        <v>160</v>
      </c>
      <c r="G116" s="3" t="s">
        <v>161</v>
      </c>
      <c r="H116" s="3" t="s">
        <v>162</v>
      </c>
      <c r="O116" s="5">
        <v>95000</v>
      </c>
      <c r="P116" s="3">
        <v>30</v>
      </c>
      <c r="Q116" s="3" t="s">
        <v>499</v>
      </c>
      <c r="R116" s="3" t="s">
        <v>115</v>
      </c>
      <c r="S116" s="9">
        <v>33.06</v>
      </c>
      <c r="T116" s="9">
        <f t="shared" si="12"/>
        <v>0.90744101633393826</v>
      </c>
      <c r="V116" s="8">
        <v>1033.03</v>
      </c>
      <c r="W116" s="8">
        <v>1867.93</v>
      </c>
      <c r="Z116" s="8">
        <v>1078.2</v>
      </c>
      <c r="AD116" s="8">
        <v>1500</v>
      </c>
      <c r="AE116" s="8">
        <v>14876</v>
      </c>
      <c r="AG116" s="8">
        <v>60</v>
      </c>
      <c r="AH116" s="27">
        <v>15200</v>
      </c>
      <c r="AI116" s="8">
        <v>14302.63</v>
      </c>
      <c r="AJ116" s="8">
        <v>5326.08</v>
      </c>
      <c r="AK116" s="8">
        <v>11.6</v>
      </c>
      <c r="AQ116" s="8">
        <v>140</v>
      </c>
      <c r="AS116" s="8">
        <v>693.96</v>
      </c>
      <c r="AU116" s="8">
        <v>3328.5</v>
      </c>
      <c r="AZ116" s="8">
        <v>4339.08</v>
      </c>
      <c r="BA116" s="8"/>
      <c r="BB116" s="8">
        <v>112.62</v>
      </c>
      <c r="BC116" s="8">
        <v>666</v>
      </c>
      <c r="BD116" s="8"/>
      <c r="BE116" s="8">
        <v>809.94</v>
      </c>
      <c r="BH116" s="8">
        <v>400</v>
      </c>
      <c r="BI116" s="8">
        <v>989</v>
      </c>
      <c r="BJ116" s="8">
        <v>529</v>
      </c>
      <c r="BL116" s="8">
        <f t="shared" si="13"/>
        <v>67263.570000000007</v>
      </c>
      <c r="BM116" s="8">
        <f t="shared" si="14"/>
        <v>20415.16</v>
      </c>
      <c r="BN116" s="8">
        <f t="shared" si="15"/>
        <v>12019.7</v>
      </c>
    </row>
    <row r="117" spans="1:66" x14ac:dyDescent="0.25">
      <c r="A117" s="3" t="s">
        <v>500</v>
      </c>
      <c r="B117" s="3" t="s">
        <v>501</v>
      </c>
      <c r="C117" s="3" t="s">
        <v>101</v>
      </c>
      <c r="D117" s="3" t="s">
        <v>79</v>
      </c>
      <c r="L117" s="3" t="s">
        <v>171</v>
      </c>
      <c r="M117" s="3" t="s">
        <v>172</v>
      </c>
      <c r="N117" s="3" t="s">
        <v>173</v>
      </c>
      <c r="O117" s="7">
        <v>563000</v>
      </c>
      <c r="P117" s="3">
        <v>319</v>
      </c>
      <c r="Q117" s="7" t="s">
        <v>502</v>
      </c>
      <c r="R117" s="7" t="s">
        <v>128</v>
      </c>
      <c r="S117" s="7">
        <v>322.5</v>
      </c>
      <c r="T117" s="9">
        <f t="shared" si="12"/>
        <v>0.98914728682170538</v>
      </c>
      <c r="U117" s="7">
        <v>1306.44</v>
      </c>
      <c r="W117" s="7">
        <v>1580.2</v>
      </c>
      <c r="Z117" s="7">
        <v>4529.1400000000003</v>
      </c>
      <c r="AA117" s="7">
        <v>1346.95</v>
      </c>
      <c r="AB117" s="7">
        <v>50</v>
      </c>
      <c r="AD117" s="7">
        <v>2180</v>
      </c>
      <c r="AE117" s="7">
        <v>1232.25</v>
      </c>
      <c r="AG117" s="7">
        <v>50</v>
      </c>
      <c r="AI117" s="7">
        <v>124812.43</v>
      </c>
      <c r="AJ117" s="7">
        <v>23773.42</v>
      </c>
      <c r="AK117" s="7">
        <v>2289.9</v>
      </c>
      <c r="AS117" s="7">
        <v>50077.25</v>
      </c>
      <c r="AY117" s="7">
        <v>3895.5</v>
      </c>
      <c r="AZ117" s="7">
        <v>45173.06</v>
      </c>
      <c r="BB117" s="7">
        <v>2826.93</v>
      </c>
      <c r="BC117" s="7">
        <v>4180.9799999999996</v>
      </c>
      <c r="BE117" s="7">
        <v>15319.38</v>
      </c>
      <c r="BH117" s="7">
        <v>10222.700000000001</v>
      </c>
      <c r="BI117" s="7">
        <v>31080</v>
      </c>
      <c r="BJ117" s="7">
        <v>7808.69</v>
      </c>
      <c r="BK117" s="7">
        <v>5487</v>
      </c>
      <c r="BL117" s="8">
        <f t="shared" si="13"/>
        <v>339222.22000000003</v>
      </c>
      <c r="BM117" s="8">
        <f t="shared" si="14"/>
        <v>12274.980000000001</v>
      </c>
      <c r="BN117" s="8">
        <f t="shared" si="15"/>
        <v>172874.38999999998</v>
      </c>
    </row>
    <row r="118" spans="1:66" x14ac:dyDescent="0.25">
      <c r="A118" s="3" t="s">
        <v>503</v>
      </c>
      <c r="B118" s="3" t="s">
        <v>504</v>
      </c>
      <c r="C118" s="3" t="s">
        <v>505</v>
      </c>
      <c r="D118" s="3" t="s">
        <v>126</v>
      </c>
      <c r="O118" s="5">
        <v>33000</v>
      </c>
      <c r="P118" s="3">
        <v>105</v>
      </c>
      <c r="Q118" s="3" t="s">
        <v>506</v>
      </c>
      <c r="R118" s="3" t="s">
        <v>507</v>
      </c>
      <c r="S118" s="9">
        <v>52.125</v>
      </c>
      <c r="T118" s="9">
        <f t="shared" si="12"/>
        <v>2.014388489208633</v>
      </c>
      <c r="W118" s="8">
        <v>5098.43</v>
      </c>
      <c r="X118" s="8">
        <v>1365</v>
      </c>
      <c r="Z118" s="8">
        <v>1378.32</v>
      </c>
      <c r="AE118" s="8">
        <v>750</v>
      </c>
      <c r="AI118" s="8">
        <v>18927.5</v>
      </c>
      <c r="AJ118" s="8">
        <v>3523.72</v>
      </c>
      <c r="BB118" s="8">
        <v>185.61</v>
      </c>
      <c r="BC118" s="8">
        <v>16</v>
      </c>
      <c r="BE118" s="8">
        <v>415.56</v>
      </c>
      <c r="BL118" s="8">
        <f t="shared" si="13"/>
        <v>31660.140000000003</v>
      </c>
      <c r="BM118" s="8">
        <f t="shared" si="14"/>
        <v>7226.75</v>
      </c>
      <c r="BN118" s="8">
        <f t="shared" si="15"/>
        <v>617.17000000000007</v>
      </c>
    </row>
    <row r="119" spans="1:66" x14ac:dyDescent="0.25">
      <c r="A119" s="3" t="s">
        <v>508</v>
      </c>
      <c r="B119" s="3" t="s">
        <v>509</v>
      </c>
      <c r="C119" s="3" t="s">
        <v>113</v>
      </c>
      <c r="D119" s="3" t="s">
        <v>69</v>
      </c>
      <c r="F119" s="11">
        <v>2</v>
      </c>
      <c r="G119" s="11"/>
      <c r="H119" s="11"/>
      <c r="I119" s="11" t="s">
        <v>80</v>
      </c>
      <c r="J119" s="11" t="s">
        <v>81</v>
      </c>
      <c r="K119" s="11" t="s">
        <v>72</v>
      </c>
      <c r="L119" s="11" t="s">
        <v>73</v>
      </c>
      <c r="M119" s="11" t="s">
        <v>414</v>
      </c>
      <c r="N119" s="11" t="s">
        <v>72</v>
      </c>
      <c r="O119" s="5">
        <v>121250</v>
      </c>
      <c r="P119" s="3">
        <v>59</v>
      </c>
      <c r="Q119" s="3" t="s">
        <v>510</v>
      </c>
      <c r="R119" s="3" t="s">
        <v>115</v>
      </c>
      <c r="S119" s="9">
        <v>59.8125</v>
      </c>
      <c r="T119" s="9">
        <f t="shared" si="12"/>
        <v>0.98641588296760707</v>
      </c>
      <c r="U119" s="13">
        <v>2305.9499999999998</v>
      </c>
      <c r="V119" s="13">
        <v>1597.53</v>
      </c>
      <c r="W119" s="8">
        <v>190</v>
      </c>
      <c r="Z119" s="8">
        <v>974.94</v>
      </c>
      <c r="AE119" s="8">
        <v>178.31</v>
      </c>
      <c r="AI119" s="8">
        <v>22834.04</v>
      </c>
      <c r="AJ119" s="8">
        <v>4702.12</v>
      </c>
      <c r="AK119" s="8">
        <v>3937.39</v>
      </c>
      <c r="AQ119" s="8">
        <v>170.18</v>
      </c>
      <c r="AS119" s="8">
        <v>4732.05</v>
      </c>
      <c r="AU119" s="8">
        <v>150</v>
      </c>
      <c r="AV119" s="8">
        <v>3426.6</v>
      </c>
      <c r="AZ119" s="8">
        <v>3772.76</v>
      </c>
      <c r="BA119" s="8">
        <v>2280</v>
      </c>
      <c r="BB119" s="8">
        <v>151.93</v>
      </c>
      <c r="BC119" s="8">
        <v>2304</v>
      </c>
      <c r="BE119" s="8">
        <v>2541.69</v>
      </c>
      <c r="BF119" s="8">
        <v>610</v>
      </c>
      <c r="BH119" s="8">
        <v>8411.7000000000007</v>
      </c>
      <c r="BJ119" s="8">
        <v>1117.25</v>
      </c>
      <c r="BL119" s="8">
        <f t="shared" si="13"/>
        <v>66388.44</v>
      </c>
      <c r="BM119" s="8">
        <f t="shared" si="14"/>
        <v>5246.7300000000005</v>
      </c>
      <c r="BN119" s="8">
        <f t="shared" si="15"/>
        <v>31325.550000000003</v>
      </c>
    </row>
    <row r="120" spans="1:66" x14ac:dyDescent="0.25">
      <c r="A120" s="3" t="s">
        <v>511</v>
      </c>
      <c r="B120" s="3" t="s">
        <v>512</v>
      </c>
      <c r="C120" s="3" t="s">
        <v>513</v>
      </c>
      <c r="D120" s="3" t="s">
        <v>79</v>
      </c>
      <c r="G120" s="11"/>
      <c r="H120" s="11"/>
      <c r="I120" s="3" t="s">
        <v>80</v>
      </c>
      <c r="J120" s="3" t="s">
        <v>81</v>
      </c>
      <c r="K120" s="3" t="s">
        <v>336</v>
      </c>
      <c r="L120" s="3" t="s">
        <v>73</v>
      </c>
      <c r="M120" s="3" t="s">
        <v>74</v>
      </c>
      <c r="N120" s="3" t="s">
        <v>336</v>
      </c>
      <c r="O120" s="5">
        <v>80000</v>
      </c>
      <c r="P120" s="3">
        <v>35</v>
      </c>
      <c r="Q120" s="3" t="s">
        <v>514</v>
      </c>
      <c r="R120" s="3" t="s">
        <v>507</v>
      </c>
      <c r="S120" s="9">
        <v>27.25</v>
      </c>
      <c r="T120" s="9">
        <f t="shared" si="12"/>
        <v>1.2844036697247707</v>
      </c>
      <c r="W120" s="8">
        <v>1874.58</v>
      </c>
      <c r="X120" s="13">
        <v>2600</v>
      </c>
      <c r="Z120" s="8">
        <v>591.04999999999995</v>
      </c>
      <c r="AE120" s="8">
        <v>1444.2</v>
      </c>
      <c r="AG120" s="8">
        <v>445.7</v>
      </c>
      <c r="AI120" s="8">
        <v>6975.53</v>
      </c>
      <c r="AJ120" s="8">
        <v>6531.8</v>
      </c>
      <c r="AK120" s="8">
        <v>549.87</v>
      </c>
      <c r="AZ120" s="8">
        <v>220</v>
      </c>
      <c r="BA120" s="8"/>
      <c r="BC120" s="8">
        <v>555</v>
      </c>
      <c r="BE120" s="8">
        <v>467.41</v>
      </c>
      <c r="BF120" s="13">
        <v>3963.5</v>
      </c>
      <c r="BH120" s="8">
        <v>3832</v>
      </c>
      <c r="BL120" s="8">
        <f t="shared" si="13"/>
        <v>30050.639999999999</v>
      </c>
      <c r="BM120" s="8">
        <f t="shared" si="14"/>
        <v>4355.53</v>
      </c>
      <c r="BN120" s="8">
        <f t="shared" si="15"/>
        <v>9587.7799999999988</v>
      </c>
    </row>
    <row r="121" spans="1:66" x14ac:dyDescent="0.25">
      <c r="A121" s="3" t="s">
        <v>515</v>
      </c>
      <c r="B121" s="3" t="s">
        <v>516</v>
      </c>
      <c r="C121" s="3" t="s">
        <v>237</v>
      </c>
      <c r="D121" s="3" t="s">
        <v>69</v>
      </c>
      <c r="F121" s="3">
        <v>2</v>
      </c>
      <c r="I121" s="3" t="s">
        <v>80</v>
      </c>
      <c r="J121" s="3" t="s">
        <v>81</v>
      </c>
      <c r="K121" s="3" t="s">
        <v>72</v>
      </c>
      <c r="L121" s="3" t="s">
        <v>73</v>
      </c>
      <c r="M121" s="3" t="s">
        <v>414</v>
      </c>
      <c r="N121" s="3" t="s">
        <v>72</v>
      </c>
      <c r="O121" s="5">
        <v>430281</v>
      </c>
      <c r="P121" s="3">
        <v>462</v>
      </c>
      <c r="Q121" s="3" t="s">
        <v>517</v>
      </c>
      <c r="R121" s="3" t="s">
        <v>115</v>
      </c>
      <c r="S121" s="9">
        <v>187.125</v>
      </c>
      <c r="T121" s="9">
        <f t="shared" si="12"/>
        <v>2.4689378757515028</v>
      </c>
      <c r="U121" s="8">
        <v>516</v>
      </c>
      <c r="V121" s="8">
        <v>10061</v>
      </c>
      <c r="W121" s="8">
        <v>1190.54</v>
      </c>
      <c r="Z121" s="8">
        <v>2124.56</v>
      </c>
      <c r="AC121" s="8">
        <v>2574.91</v>
      </c>
      <c r="AE121" s="8">
        <v>4719.7800000000007</v>
      </c>
      <c r="AG121" s="8">
        <v>75</v>
      </c>
      <c r="AI121" s="8">
        <v>67123.89</v>
      </c>
      <c r="AJ121" s="8">
        <v>16961.25</v>
      </c>
      <c r="AK121" s="8">
        <v>10372.9</v>
      </c>
      <c r="AQ121" s="8">
        <v>1010.51</v>
      </c>
      <c r="AS121" s="8">
        <v>5940.92</v>
      </c>
      <c r="AU121" s="8">
        <v>360</v>
      </c>
      <c r="AV121" s="8">
        <v>27175.68</v>
      </c>
      <c r="AZ121" s="8">
        <v>15927.48</v>
      </c>
      <c r="BA121" s="8">
        <v>23081.84</v>
      </c>
      <c r="BB121" s="8">
        <v>8.4600000000000009</v>
      </c>
      <c r="BC121" s="8">
        <v>1695.77</v>
      </c>
      <c r="BE121" s="8">
        <v>12687.62</v>
      </c>
      <c r="BH121" s="8">
        <v>59330</v>
      </c>
      <c r="BJ121" s="8">
        <v>7921.43</v>
      </c>
      <c r="BK121" s="8">
        <v>46147.29</v>
      </c>
      <c r="BL121" s="8">
        <f t="shared" si="13"/>
        <v>317006.82999999996</v>
      </c>
      <c r="BM121" s="8">
        <f t="shared" si="14"/>
        <v>21261.79</v>
      </c>
      <c r="BN121" s="8">
        <f t="shared" si="15"/>
        <v>142430.76999999999</v>
      </c>
    </row>
    <row r="122" spans="1:66" x14ac:dyDescent="0.25">
      <c r="A122" s="3" t="s">
        <v>518</v>
      </c>
      <c r="B122" s="3" t="s">
        <v>519</v>
      </c>
      <c r="C122" s="3" t="s">
        <v>177</v>
      </c>
      <c r="D122" s="3" t="s">
        <v>93</v>
      </c>
      <c r="E122" t="s">
        <v>146</v>
      </c>
      <c r="F122" s="3" t="s">
        <v>146</v>
      </c>
      <c r="G122" s="3" t="s">
        <v>147</v>
      </c>
      <c r="H122" s="3" t="s">
        <v>96</v>
      </c>
      <c r="I122" s="3" t="s">
        <v>96</v>
      </c>
      <c r="O122" s="5">
        <v>149000</v>
      </c>
      <c r="P122" s="3">
        <v>269</v>
      </c>
      <c r="Q122" s="3" t="s">
        <v>520</v>
      </c>
      <c r="R122" s="3" t="s">
        <v>115</v>
      </c>
      <c r="S122" s="9">
        <v>94</v>
      </c>
      <c r="T122" s="9">
        <f t="shared" si="12"/>
        <v>2.8617021276595747</v>
      </c>
      <c r="W122" s="8">
        <v>380</v>
      </c>
      <c r="Z122" s="8">
        <v>1865.12</v>
      </c>
      <c r="AE122" s="8">
        <v>435</v>
      </c>
      <c r="AG122" s="8">
        <v>75</v>
      </c>
      <c r="AI122" s="8">
        <v>33281.839999999997</v>
      </c>
      <c r="AJ122" s="8">
        <v>4053.67</v>
      </c>
      <c r="AN122" s="8">
        <v>780</v>
      </c>
      <c r="AR122" s="8">
        <v>520</v>
      </c>
      <c r="AU122" s="8">
        <v>34481</v>
      </c>
      <c r="AZ122" s="8">
        <v>13022.65</v>
      </c>
      <c r="BA122" s="8"/>
      <c r="BB122" s="8">
        <v>51.69</v>
      </c>
      <c r="BC122" s="8">
        <v>2326.7399999999998</v>
      </c>
      <c r="BE122" s="8">
        <v>4293.24</v>
      </c>
      <c r="BF122" s="8">
        <v>207.64</v>
      </c>
      <c r="BL122" s="8">
        <f t="shared" si="13"/>
        <v>95773.590000000011</v>
      </c>
      <c r="BM122" s="8">
        <f t="shared" si="14"/>
        <v>2755.12</v>
      </c>
      <c r="BN122" s="8">
        <f t="shared" si="15"/>
        <v>55682.96</v>
      </c>
    </row>
    <row r="123" spans="1:66" x14ac:dyDescent="0.25">
      <c r="A123" s="3" t="s">
        <v>521</v>
      </c>
      <c r="B123" s="3" t="s">
        <v>522</v>
      </c>
      <c r="C123" s="3" t="s">
        <v>474</v>
      </c>
      <c r="D123" s="3" t="s">
        <v>79</v>
      </c>
      <c r="L123" s="3" t="s">
        <v>171</v>
      </c>
      <c r="M123" s="3" t="s">
        <v>172</v>
      </c>
      <c r="N123" s="3" t="s">
        <v>72</v>
      </c>
      <c r="O123" s="5">
        <v>135000</v>
      </c>
      <c r="P123" s="3">
        <v>133</v>
      </c>
      <c r="Q123" s="3" t="s">
        <v>494</v>
      </c>
      <c r="R123" s="3" t="s">
        <v>115</v>
      </c>
      <c r="S123" s="9">
        <v>47.125</v>
      </c>
      <c r="T123" s="9">
        <f t="shared" si="12"/>
        <v>2.8222811671087533</v>
      </c>
      <c r="U123" s="8">
        <v>1697.89</v>
      </c>
      <c r="W123" s="8">
        <v>200</v>
      </c>
      <c r="Z123" s="8">
        <v>298.83</v>
      </c>
      <c r="AD123" s="8">
        <v>1120</v>
      </c>
      <c r="AE123" s="8">
        <v>357.6</v>
      </c>
      <c r="AI123" s="8">
        <v>19507.97</v>
      </c>
      <c r="AJ123" s="8">
        <v>900.6</v>
      </c>
      <c r="AK123" s="8">
        <v>4490.72</v>
      </c>
      <c r="AQ123" s="8">
        <v>35</v>
      </c>
      <c r="AS123" s="8">
        <v>4042</v>
      </c>
      <c r="AZ123" s="8">
        <v>4447.97</v>
      </c>
      <c r="BA123" s="8"/>
      <c r="BB123" s="8">
        <v>58.21</v>
      </c>
      <c r="BC123" s="8">
        <v>940.98</v>
      </c>
      <c r="BE123" s="8">
        <v>2823.31</v>
      </c>
      <c r="BF123" s="8">
        <v>1339.39</v>
      </c>
      <c r="BH123" s="8">
        <v>2940</v>
      </c>
      <c r="BI123" s="8">
        <v>13940</v>
      </c>
      <c r="BJ123" s="8">
        <v>2949.9</v>
      </c>
      <c r="BL123" s="8">
        <f t="shared" si="13"/>
        <v>62090.37</v>
      </c>
      <c r="BM123" s="8">
        <f t="shared" si="14"/>
        <v>3674.32</v>
      </c>
      <c r="BN123" s="8">
        <f t="shared" si="15"/>
        <v>38007.480000000003</v>
      </c>
    </row>
    <row r="124" spans="1:66" x14ac:dyDescent="0.25">
      <c r="A124" s="14" t="s">
        <v>523</v>
      </c>
      <c r="B124" s="14" t="s">
        <v>524</v>
      </c>
      <c r="C124" s="14" t="s">
        <v>525</v>
      </c>
      <c r="D124" s="14" t="s">
        <v>126</v>
      </c>
      <c r="F124" s="19"/>
      <c r="G124" s="19"/>
      <c r="H124" s="19"/>
      <c r="I124" s="19"/>
      <c r="J124" s="19"/>
      <c r="K124" s="19"/>
      <c r="L124" s="19"/>
      <c r="M124" s="19"/>
      <c r="N124" s="19"/>
      <c r="O124" s="16">
        <v>562000</v>
      </c>
      <c r="P124" s="14">
        <v>239</v>
      </c>
      <c r="Q124" s="14" t="s">
        <v>526</v>
      </c>
      <c r="R124" s="14" t="s">
        <v>115</v>
      </c>
      <c r="S124" s="17">
        <v>295.6875</v>
      </c>
      <c r="T124" s="17">
        <f t="shared" si="12"/>
        <v>0.80828577467765805</v>
      </c>
      <c r="U124" s="19"/>
      <c r="V124" s="18">
        <v>2630.83</v>
      </c>
      <c r="W124" s="18">
        <v>2805.13</v>
      </c>
      <c r="X124" s="19"/>
      <c r="Y124" s="19"/>
      <c r="Z124" s="18">
        <v>8192.34</v>
      </c>
      <c r="AA124" s="19"/>
      <c r="AB124" s="19"/>
      <c r="AC124" s="19"/>
      <c r="AD124" s="18">
        <v>2907</v>
      </c>
      <c r="AE124" s="18">
        <v>8904.41</v>
      </c>
      <c r="AF124" s="19"/>
      <c r="AG124" s="18">
        <v>120</v>
      </c>
      <c r="AH124" s="28">
        <v>9134</v>
      </c>
      <c r="AI124" s="18">
        <v>118735.61</v>
      </c>
      <c r="AJ124" s="18">
        <v>21349.439999999999</v>
      </c>
      <c r="AK124" s="18">
        <v>6323.82</v>
      </c>
      <c r="AL124" s="19"/>
      <c r="AM124" s="19"/>
      <c r="AN124" s="19"/>
      <c r="AO124" s="18">
        <v>2498.62</v>
      </c>
      <c r="AP124" s="18">
        <v>270</v>
      </c>
      <c r="AQ124" s="18">
        <v>344.73</v>
      </c>
      <c r="AR124" s="19"/>
      <c r="AS124" s="18">
        <v>18726.14</v>
      </c>
      <c r="AT124" s="19"/>
      <c r="AU124" s="18">
        <v>5875.85</v>
      </c>
      <c r="AV124" s="18">
        <v>14149.44</v>
      </c>
      <c r="AW124" s="19"/>
      <c r="AX124" s="19"/>
      <c r="AY124" s="19"/>
      <c r="AZ124" s="18">
        <v>32020.639999999999</v>
      </c>
      <c r="BA124" s="18">
        <v>1986</v>
      </c>
      <c r="BB124" s="18">
        <v>875.35</v>
      </c>
      <c r="BC124" s="18">
        <v>15172.36</v>
      </c>
      <c r="BD124" s="18">
        <v>2525</v>
      </c>
      <c r="BE124" s="18">
        <v>13166.41</v>
      </c>
      <c r="BF124" s="18">
        <v>743.42</v>
      </c>
      <c r="BG124" s="19"/>
      <c r="BH124" s="18">
        <v>3856.44</v>
      </c>
      <c r="BI124" s="18">
        <v>35617.800000000003</v>
      </c>
      <c r="BJ124" s="18">
        <v>7734.33</v>
      </c>
      <c r="BK124" s="18">
        <v>25574.21</v>
      </c>
      <c r="BL124" s="8">
        <f t="shared" si="13"/>
        <v>362239.32</v>
      </c>
      <c r="BM124" s="8">
        <f t="shared" si="14"/>
        <v>25559.71</v>
      </c>
      <c r="BN124" s="8">
        <f t="shared" si="15"/>
        <v>157375.35</v>
      </c>
    </row>
    <row r="125" spans="1:66" x14ac:dyDescent="0.25">
      <c r="A125" s="3" t="s">
        <v>527</v>
      </c>
      <c r="B125" s="3" t="s">
        <v>528</v>
      </c>
      <c r="C125" s="3" t="s">
        <v>68</v>
      </c>
      <c r="D125" s="3" t="s">
        <v>93</v>
      </c>
      <c r="E125" t="s">
        <v>160</v>
      </c>
      <c r="F125" s="3" t="s">
        <v>160</v>
      </c>
      <c r="G125" s="11" t="s">
        <v>161</v>
      </c>
      <c r="H125" s="11" t="s">
        <v>162</v>
      </c>
      <c r="O125" s="5">
        <v>19000</v>
      </c>
      <c r="P125" s="3">
        <v>12</v>
      </c>
      <c r="Q125" s="11" t="s">
        <v>529</v>
      </c>
      <c r="R125" s="11" t="s">
        <v>115</v>
      </c>
      <c r="S125" s="12">
        <v>12.5</v>
      </c>
      <c r="T125" s="9">
        <f t="shared" si="12"/>
        <v>0.96</v>
      </c>
      <c r="Z125" s="13">
        <v>306.37</v>
      </c>
      <c r="AG125" s="13">
        <v>75</v>
      </c>
      <c r="AI125" s="13">
        <v>5390.96</v>
      </c>
      <c r="AJ125" s="13">
        <v>389</v>
      </c>
      <c r="AU125" s="13">
        <v>1760</v>
      </c>
      <c r="AZ125" s="13">
        <v>1698</v>
      </c>
      <c r="BA125" s="13"/>
      <c r="BB125" s="13">
        <v>122.36</v>
      </c>
      <c r="BC125" s="13">
        <v>233.5</v>
      </c>
      <c r="BE125" s="13">
        <v>324.2</v>
      </c>
      <c r="BL125" s="8">
        <f t="shared" si="13"/>
        <v>10299.390000000001</v>
      </c>
      <c r="BM125" s="8">
        <f t="shared" si="14"/>
        <v>381.37</v>
      </c>
      <c r="BN125" s="8">
        <f t="shared" si="15"/>
        <v>4138.0600000000004</v>
      </c>
    </row>
    <row r="126" spans="1:66" x14ac:dyDescent="0.25">
      <c r="A126" s="14" t="s">
        <v>530</v>
      </c>
      <c r="B126" s="14" t="s">
        <v>531</v>
      </c>
      <c r="C126" s="14" t="s">
        <v>328</v>
      </c>
      <c r="D126" s="14" t="s">
        <v>69</v>
      </c>
      <c r="F126" s="14">
        <v>0.5</v>
      </c>
      <c r="G126" s="19"/>
      <c r="H126" s="19"/>
      <c r="I126" s="14" t="s">
        <v>80</v>
      </c>
      <c r="J126" s="14" t="s">
        <v>81</v>
      </c>
      <c r="K126" s="14" t="s">
        <v>72</v>
      </c>
      <c r="L126" s="14" t="s">
        <v>73</v>
      </c>
      <c r="M126" s="14" t="s">
        <v>414</v>
      </c>
      <c r="N126" s="14" t="s">
        <v>72</v>
      </c>
      <c r="O126" s="16">
        <v>1077328</v>
      </c>
      <c r="P126" s="14">
        <v>1707</v>
      </c>
      <c r="Q126" s="14" t="s">
        <v>532</v>
      </c>
      <c r="R126" s="14" t="s">
        <v>115</v>
      </c>
      <c r="S126" s="17">
        <v>277</v>
      </c>
      <c r="T126" s="17">
        <f t="shared" si="12"/>
        <v>6.162454873646209</v>
      </c>
      <c r="U126" s="18">
        <v>1778.19</v>
      </c>
      <c r="V126" s="18">
        <v>2582.64</v>
      </c>
      <c r="W126" s="18">
        <v>1593.3</v>
      </c>
      <c r="X126" s="19"/>
      <c r="Y126" s="19"/>
      <c r="Z126" s="18">
        <v>2964.67</v>
      </c>
      <c r="AA126" s="19"/>
      <c r="AB126" s="19"/>
      <c r="AC126" s="19"/>
      <c r="AD126" s="19"/>
      <c r="AE126" s="18">
        <v>7441.74</v>
      </c>
      <c r="AF126" s="19"/>
      <c r="AG126" s="18">
        <v>150</v>
      </c>
      <c r="AH126" s="28">
        <v>4408</v>
      </c>
      <c r="AI126" s="18">
        <v>107720.11</v>
      </c>
      <c r="AJ126" s="18">
        <v>17735.689999999999</v>
      </c>
      <c r="AK126" s="18">
        <v>51266.28</v>
      </c>
      <c r="AL126" s="19"/>
      <c r="AM126" s="19"/>
      <c r="AN126" s="19"/>
      <c r="AO126" s="19"/>
      <c r="AP126" s="19"/>
      <c r="AQ126" s="18">
        <v>1224.73</v>
      </c>
      <c r="AR126" s="19"/>
      <c r="AS126" s="18">
        <v>12777.5</v>
      </c>
      <c r="AT126" s="19"/>
      <c r="AU126" s="19"/>
      <c r="AV126" s="18">
        <v>62134.92</v>
      </c>
      <c r="AW126" s="19"/>
      <c r="AX126" s="19"/>
      <c r="AY126" s="19"/>
      <c r="AZ126" s="18">
        <v>34681.210000000006</v>
      </c>
      <c r="BA126" s="18">
        <v>57771</v>
      </c>
      <c r="BB126" s="19"/>
      <c r="BC126" s="18">
        <v>4104.3999999999996</v>
      </c>
      <c r="BD126" s="19"/>
      <c r="BE126" s="18">
        <v>36447.9</v>
      </c>
      <c r="BF126" s="19"/>
      <c r="BG126" s="19"/>
      <c r="BH126" s="18">
        <v>133300</v>
      </c>
      <c r="BI126" s="19"/>
      <c r="BJ126" s="18">
        <v>11422</v>
      </c>
      <c r="BK126" s="19"/>
      <c r="BL126" s="8">
        <f t="shared" si="13"/>
        <v>551504.28</v>
      </c>
      <c r="BM126" s="8">
        <f t="shared" si="14"/>
        <v>16510.54</v>
      </c>
      <c r="BN126" s="8">
        <f t="shared" si="15"/>
        <v>347358.94</v>
      </c>
    </row>
    <row r="127" spans="1:66" x14ac:dyDescent="0.25">
      <c r="A127" s="3" t="s">
        <v>533</v>
      </c>
      <c r="B127" s="3" t="s">
        <v>534</v>
      </c>
      <c r="C127" s="3" t="s">
        <v>233</v>
      </c>
      <c r="D127" s="3" t="s">
        <v>69</v>
      </c>
      <c r="F127" s="3">
        <v>2</v>
      </c>
      <c r="G127" s="11"/>
      <c r="H127" s="11"/>
      <c r="I127" s="3" t="s">
        <v>80</v>
      </c>
      <c r="J127" s="3" t="s">
        <v>81</v>
      </c>
      <c r="K127" s="3" t="s">
        <v>72</v>
      </c>
      <c r="L127" s="3" t="s">
        <v>73</v>
      </c>
      <c r="M127" s="3" t="s">
        <v>414</v>
      </c>
      <c r="N127" s="3" t="s">
        <v>72</v>
      </c>
      <c r="O127" s="10">
        <v>265334</v>
      </c>
      <c r="P127" s="3">
        <v>380</v>
      </c>
      <c r="Q127" s="11" t="s">
        <v>535</v>
      </c>
      <c r="R127" s="11" t="s">
        <v>128</v>
      </c>
      <c r="S127" s="12">
        <v>139.875</v>
      </c>
      <c r="T127" s="9">
        <f t="shared" si="12"/>
        <v>2.7167113494191244</v>
      </c>
      <c r="U127" s="13">
        <v>81.69</v>
      </c>
      <c r="V127" s="13">
        <v>10957.97</v>
      </c>
      <c r="W127" s="13">
        <v>1000</v>
      </c>
      <c r="Z127" s="13">
        <v>1528.01</v>
      </c>
      <c r="AE127" s="13">
        <v>2102</v>
      </c>
      <c r="AI127" s="13">
        <v>56451.93</v>
      </c>
      <c r="AJ127" s="13">
        <v>5585.84</v>
      </c>
      <c r="AK127" s="13">
        <v>9707.58</v>
      </c>
      <c r="AQ127" s="13">
        <v>806.6</v>
      </c>
      <c r="AS127" s="13">
        <v>13293.5</v>
      </c>
      <c r="AT127" s="13">
        <v>56</v>
      </c>
      <c r="AV127" s="13">
        <v>25410</v>
      </c>
      <c r="AZ127" s="13">
        <v>11161.71</v>
      </c>
      <c r="BA127" s="13"/>
      <c r="BC127" s="13">
        <v>3876.71</v>
      </c>
      <c r="BD127" s="13">
        <v>1890</v>
      </c>
      <c r="BE127" s="13">
        <v>10831.11</v>
      </c>
      <c r="BH127" s="13">
        <v>43545</v>
      </c>
      <c r="BJ127" s="13">
        <v>2604</v>
      </c>
      <c r="BL127" s="8">
        <f t="shared" si="13"/>
        <v>200889.65000000002</v>
      </c>
      <c r="BM127" s="8">
        <f t="shared" si="14"/>
        <v>15669.67</v>
      </c>
      <c r="BN127" s="8">
        <f t="shared" si="15"/>
        <v>121292.21</v>
      </c>
    </row>
    <row r="128" spans="1:66" x14ac:dyDescent="0.25">
      <c r="A128" s="3" t="s">
        <v>536</v>
      </c>
      <c r="B128" s="3" t="s">
        <v>537</v>
      </c>
      <c r="C128" s="3" t="s">
        <v>138</v>
      </c>
      <c r="D128" s="3" t="s">
        <v>79</v>
      </c>
      <c r="L128" s="3" t="s">
        <v>171</v>
      </c>
      <c r="M128" s="3" t="s">
        <v>280</v>
      </c>
      <c r="N128" s="3" t="s">
        <v>173</v>
      </c>
      <c r="O128" s="10">
        <v>290834</v>
      </c>
      <c r="P128" s="3">
        <v>405</v>
      </c>
      <c r="Q128" s="11" t="s">
        <v>535</v>
      </c>
      <c r="R128" s="11" t="s">
        <v>128</v>
      </c>
      <c r="S128" s="12">
        <v>85.125</v>
      </c>
      <c r="T128" s="9">
        <f t="shared" si="12"/>
        <v>4.7577092511013213</v>
      </c>
      <c r="V128" s="8">
        <v>2108.36</v>
      </c>
      <c r="W128" s="13">
        <v>1899.75</v>
      </c>
      <c r="Z128" s="13">
        <v>1149.53</v>
      </c>
      <c r="AE128" s="13">
        <v>3270</v>
      </c>
      <c r="AG128" s="8">
        <v>150</v>
      </c>
      <c r="AI128" s="13">
        <v>34489.58</v>
      </c>
      <c r="AJ128" s="13">
        <v>2429.1</v>
      </c>
      <c r="AK128" s="13">
        <v>624.33000000000004</v>
      </c>
      <c r="AQ128" s="13">
        <v>597.29999999999995</v>
      </c>
      <c r="AS128" s="13">
        <v>10886</v>
      </c>
      <c r="AV128" s="13">
        <v>581.4</v>
      </c>
      <c r="AZ128" s="13">
        <v>18612.150000000001</v>
      </c>
      <c r="BA128" s="8">
        <v>16464</v>
      </c>
      <c r="BB128" s="8">
        <v>3503.7</v>
      </c>
      <c r="BC128" s="13">
        <v>1283</v>
      </c>
      <c r="BE128" s="13">
        <v>13523.07</v>
      </c>
      <c r="BH128" s="13">
        <v>2371</v>
      </c>
      <c r="BI128" s="8">
        <v>66220</v>
      </c>
      <c r="BJ128" s="13">
        <v>1833.9</v>
      </c>
      <c r="BL128" s="8">
        <f t="shared" si="13"/>
        <v>181996.16999999998</v>
      </c>
      <c r="BM128" s="8">
        <f t="shared" si="14"/>
        <v>8577.64</v>
      </c>
      <c r="BN128" s="8">
        <f t="shared" si="15"/>
        <v>120035.85</v>
      </c>
    </row>
    <row r="129" spans="1:66" x14ac:dyDescent="0.25">
      <c r="A129" s="3" t="s">
        <v>538</v>
      </c>
      <c r="B129" s="3" t="s">
        <v>539</v>
      </c>
      <c r="C129" s="3" t="s">
        <v>138</v>
      </c>
      <c r="D129" s="3" t="s">
        <v>79</v>
      </c>
      <c r="F129" s="11"/>
      <c r="G129" s="11"/>
      <c r="H129" s="11"/>
      <c r="I129" s="11"/>
      <c r="J129" s="11"/>
      <c r="K129" s="11"/>
      <c r="L129" s="3" t="s">
        <v>171</v>
      </c>
      <c r="M129" s="3" t="s">
        <v>280</v>
      </c>
      <c r="N129" s="3" t="s">
        <v>173</v>
      </c>
      <c r="O129" s="10">
        <v>273334</v>
      </c>
      <c r="P129" s="3">
        <v>403</v>
      </c>
      <c r="Q129" s="11" t="s">
        <v>540</v>
      </c>
      <c r="R129" s="11" t="s">
        <v>115</v>
      </c>
      <c r="S129" s="12">
        <v>74.75</v>
      </c>
      <c r="T129" s="9">
        <f t="shared" si="12"/>
        <v>5.3913043478260869</v>
      </c>
      <c r="U129" s="13">
        <v>3539.67</v>
      </c>
      <c r="W129" s="13">
        <v>190</v>
      </c>
      <c r="Z129" s="13">
        <v>1303.1400000000001</v>
      </c>
      <c r="AE129" s="13">
        <v>6574.5</v>
      </c>
      <c r="AI129" s="13">
        <v>30586.78</v>
      </c>
      <c r="AJ129" s="13">
        <v>1737.8</v>
      </c>
      <c r="AK129" s="13">
        <v>988.55</v>
      </c>
      <c r="AQ129" s="13">
        <v>714.74</v>
      </c>
      <c r="AS129" s="13">
        <v>12048.5</v>
      </c>
      <c r="AV129" s="13">
        <v>412.82</v>
      </c>
      <c r="AZ129" s="13">
        <v>17265.830000000002</v>
      </c>
      <c r="BA129" s="13">
        <v>16722</v>
      </c>
      <c r="BC129" s="13">
        <v>5798.5</v>
      </c>
      <c r="BE129" s="13">
        <v>13821.22</v>
      </c>
      <c r="BH129" s="13">
        <v>2195</v>
      </c>
      <c r="BI129" s="13">
        <v>69230</v>
      </c>
      <c r="BJ129" s="13">
        <v>1110</v>
      </c>
      <c r="BL129" s="8">
        <f t="shared" si="13"/>
        <v>184239.05</v>
      </c>
      <c r="BM129" s="8">
        <f t="shared" si="14"/>
        <v>11607.310000000001</v>
      </c>
      <c r="BN129" s="8">
        <f t="shared" si="15"/>
        <v>123585.16</v>
      </c>
    </row>
    <row r="130" spans="1:66" x14ac:dyDescent="0.25">
      <c r="A130" s="3" t="s">
        <v>541</v>
      </c>
      <c r="B130" s="3" t="s">
        <v>542</v>
      </c>
      <c r="C130" s="3" t="s">
        <v>138</v>
      </c>
      <c r="D130" s="3" t="s">
        <v>69</v>
      </c>
      <c r="F130" s="3">
        <v>2</v>
      </c>
      <c r="G130" s="11"/>
      <c r="H130" s="11"/>
      <c r="I130" s="3" t="s">
        <v>80</v>
      </c>
      <c r="J130" s="3" t="s">
        <v>81</v>
      </c>
      <c r="K130" s="3" t="s">
        <v>72</v>
      </c>
      <c r="L130" s="3" t="s">
        <v>73</v>
      </c>
      <c r="M130" s="3" t="s">
        <v>414</v>
      </c>
      <c r="N130" s="3" t="s">
        <v>72</v>
      </c>
      <c r="O130" s="10">
        <v>408834</v>
      </c>
      <c r="P130" s="3">
        <v>656</v>
      </c>
      <c r="Q130" s="11" t="s">
        <v>543</v>
      </c>
      <c r="R130" s="11" t="s">
        <v>98</v>
      </c>
      <c r="S130" s="12">
        <v>150.875</v>
      </c>
      <c r="T130" s="9">
        <f t="shared" ref="T130:T142" si="16">P130/S130</f>
        <v>4.3479701739850869</v>
      </c>
      <c r="U130" s="13">
        <v>5319.92</v>
      </c>
      <c r="V130" s="13">
        <v>24127.15</v>
      </c>
      <c r="W130" s="13">
        <v>3991.62</v>
      </c>
      <c r="Z130" s="13">
        <v>3743.21</v>
      </c>
      <c r="AE130" s="13">
        <v>3159.15</v>
      </c>
      <c r="AG130" s="13">
        <v>100</v>
      </c>
      <c r="AI130" s="13">
        <v>56092.33</v>
      </c>
      <c r="AJ130" s="13">
        <v>8105.44</v>
      </c>
      <c r="AK130" s="13">
        <v>18098.68</v>
      </c>
      <c r="AQ130" s="13">
        <v>1005.83</v>
      </c>
      <c r="AS130" s="13">
        <v>9350.0300000000007</v>
      </c>
      <c r="AV130" s="13">
        <v>46788</v>
      </c>
      <c r="AZ130" s="13">
        <v>9786.0099999999984</v>
      </c>
      <c r="BA130" s="13">
        <v>8300</v>
      </c>
      <c r="BB130" s="13">
        <v>894.16</v>
      </c>
      <c r="BC130" s="13">
        <v>1541.52</v>
      </c>
      <c r="BD130" s="8">
        <v>1210</v>
      </c>
      <c r="BE130" s="13">
        <v>19374.8</v>
      </c>
      <c r="BH130" s="13">
        <v>83945</v>
      </c>
      <c r="BJ130" s="13">
        <v>2008</v>
      </c>
      <c r="BL130" s="8">
        <f t="shared" ref="BL130:BL142" si="17">SUM(U130:BK130)</f>
        <v>306940.84999999998</v>
      </c>
      <c r="BM130" s="8">
        <f t="shared" ref="BM130:BM142" si="18">SUM(U130:AG130)-X130</f>
        <v>40441.050000000003</v>
      </c>
      <c r="BN130" s="8">
        <f t="shared" ref="BN130:BN142" si="19">SUM(AK130:BJ130)-BA130-BD130</f>
        <v>192792.03000000003</v>
      </c>
    </row>
    <row r="131" spans="1:66" x14ac:dyDescent="0.25">
      <c r="A131" s="14" t="s">
        <v>544</v>
      </c>
      <c r="B131" s="14" t="s">
        <v>545</v>
      </c>
      <c r="C131" s="14" t="s">
        <v>78</v>
      </c>
      <c r="D131" s="14" t="s">
        <v>69</v>
      </c>
      <c r="F131" s="14">
        <v>8</v>
      </c>
      <c r="G131" s="19"/>
      <c r="H131" s="19"/>
      <c r="I131" s="14" t="s">
        <v>80</v>
      </c>
      <c r="J131" s="14" t="s">
        <v>81</v>
      </c>
      <c r="K131" s="14" t="s">
        <v>72</v>
      </c>
      <c r="L131" s="14" t="s">
        <v>73</v>
      </c>
      <c r="M131" s="14" t="s">
        <v>414</v>
      </c>
      <c r="N131" s="14" t="s">
        <v>72</v>
      </c>
      <c r="O131" s="23">
        <v>505334</v>
      </c>
      <c r="P131" s="14">
        <v>784</v>
      </c>
      <c r="Q131" s="15"/>
      <c r="R131" s="15"/>
      <c r="S131" s="15"/>
      <c r="T131" s="17" t="e">
        <f t="shared" si="16"/>
        <v>#DIV/0!</v>
      </c>
      <c r="U131" s="19"/>
      <c r="V131" s="19"/>
      <c r="W131" s="15"/>
      <c r="X131" s="19"/>
      <c r="Y131" s="19"/>
      <c r="Z131" s="15"/>
      <c r="AA131" s="19"/>
      <c r="AB131" s="19"/>
      <c r="AC131" s="19"/>
      <c r="AD131" s="15"/>
      <c r="AE131" s="15"/>
      <c r="AF131" s="19"/>
      <c r="AG131" s="19"/>
      <c r="AH131" s="19"/>
      <c r="AI131" s="15"/>
      <c r="AJ131" s="15"/>
      <c r="AK131" s="15"/>
      <c r="AL131" s="19"/>
      <c r="AM131" s="19"/>
      <c r="AN131" s="19"/>
      <c r="AO131" s="19"/>
      <c r="AP131" s="19"/>
      <c r="AQ131" s="15"/>
      <c r="AR131" s="19"/>
      <c r="AS131" s="15"/>
      <c r="AT131" s="19"/>
      <c r="AU131" s="19"/>
      <c r="AV131" s="15"/>
      <c r="AW131" s="19"/>
      <c r="AX131" s="19"/>
      <c r="AY131" s="19"/>
      <c r="AZ131" s="15"/>
      <c r="BA131" s="19"/>
      <c r="BB131" s="19"/>
      <c r="BC131" s="15"/>
      <c r="BD131" s="19"/>
      <c r="BE131" s="15"/>
      <c r="BF131" s="19"/>
      <c r="BG131" s="19"/>
      <c r="BH131" s="15"/>
      <c r="BI131" s="19"/>
      <c r="BJ131" s="15"/>
      <c r="BK131" s="19"/>
      <c r="BL131" s="8">
        <f t="shared" si="17"/>
        <v>0</v>
      </c>
      <c r="BM131" s="8">
        <f t="shared" si="18"/>
        <v>0</v>
      </c>
      <c r="BN131" s="8">
        <f t="shared" si="19"/>
        <v>0</v>
      </c>
    </row>
    <row r="132" spans="1:66" x14ac:dyDescent="0.25">
      <c r="A132" s="3" t="s">
        <v>546</v>
      </c>
      <c r="B132" s="3" t="s">
        <v>547</v>
      </c>
      <c r="C132" s="3" t="s">
        <v>78</v>
      </c>
      <c r="D132" s="3" t="s">
        <v>69</v>
      </c>
      <c r="F132" s="3">
        <v>2</v>
      </c>
      <c r="I132" s="3" t="s">
        <v>80</v>
      </c>
      <c r="J132" s="3" t="s">
        <v>81</v>
      </c>
      <c r="K132" s="3" t="s">
        <v>72</v>
      </c>
      <c r="L132" s="3" t="s">
        <v>73</v>
      </c>
      <c r="M132" s="3" t="s">
        <v>414</v>
      </c>
      <c r="N132" s="3" t="s">
        <v>72</v>
      </c>
      <c r="O132" s="10">
        <v>280584</v>
      </c>
      <c r="P132" s="3">
        <v>340</v>
      </c>
      <c r="Q132" s="11" t="s">
        <v>548</v>
      </c>
      <c r="R132" s="11" t="s">
        <v>128</v>
      </c>
      <c r="S132" s="12">
        <v>185.5625</v>
      </c>
      <c r="T132" s="9">
        <f t="shared" si="16"/>
        <v>1.8322667564836645</v>
      </c>
      <c r="U132" s="13">
        <v>5669.31</v>
      </c>
      <c r="V132">
        <v>639</v>
      </c>
      <c r="W132" s="13">
        <v>380</v>
      </c>
      <c r="Z132" s="13">
        <v>4567.9399999999996</v>
      </c>
      <c r="AE132" s="13">
        <v>560</v>
      </c>
      <c r="AI132" s="13">
        <v>67311.88</v>
      </c>
      <c r="AJ132" s="13">
        <v>13837.3</v>
      </c>
      <c r="AK132" s="13">
        <v>11405.89</v>
      </c>
      <c r="AQ132" s="8">
        <v>1784.5</v>
      </c>
      <c r="AS132" s="13">
        <v>16419.099999999999</v>
      </c>
      <c r="AV132" s="13">
        <v>23908.5</v>
      </c>
      <c r="AZ132" s="13">
        <v>13374.01</v>
      </c>
      <c r="BA132" s="8"/>
      <c r="BB132" s="13">
        <v>211.85</v>
      </c>
      <c r="BC132" s="13">
        <v>5049.87</v>
      </c>
      <c r="BE132" s="13">
        <v>10194.82</v>
      </c>
      <c r="BH132" s="13">
        <v>41997</v>
      </c>
      <c r="BJ132" s="13">
        <v>2848</v>
      </c>
      <c r="BL132" s="8">
        <f t="shared" si="17"/>
        <v>220158.97000000003</v>
      </c>
      <c r="BM132" s="8">
        <f t="shared" si="18"/>
        <v>11816.25</v>
      </c>
      <c r="BN132" s="8">
        <f t="shared" si="19"/>
        <v>127193.54000000001</v>
      </c>
    </row>
    <row r="133" spans="1:66" x14ac:dyDescent="0.25">
      <c r="A133" s="14" t="s">
        <v>549</v>
      </c>
      <c r="B133" s="14" t="s">
        <v>550</v>
      </c>
      <c r="C133" s="14" t="s">
        <v>138</v>
      </c>
      <c r="D133" s="14" t="s">
        <v>93</v>
      </c>
      <c r="E133" t="s">
        <v>301</v>
      </c>
      <c r="F133" s="14" t="s">
        <v>301</v>
      </c>
      <c r="G133" s="14" t="s">
        <v>302</v>
      </c>
      <c r="H133" s="14" t="s">
        <v>96</v>
      </c>
      <c r="I133" s="14" t="s">
        <v>96</v>
      </c>
      <c r="J133" s="19"/>
      <c r="K133" s="19"/>
      <c r="L133" s="19"/>
      <c r="M133" s="19"/>
      <c r="N133" s="19"/>
      <c r="O133" s="23">
        <v>66334</v>
      </c>
      <c r="P133" s="14">
        <v>166</v>
      </c>
      <c r="Q133" s="20">
        <v>46164</v>
      </c>
      <c r="R133" s="21" t="s">
        <v>128</v>
      </c>
      <c r="S133" s="24">
        <v>33.0625</v>
      </c>
      <c r="T133" s="17">
        <f t="shared" si="16"/>
        <v>5.0207939508506616</v>
      </c>
      <c r="U133" s="15"/>
      <c r="V133" s="19"/>
      <c r="W133" s="22">
        <v>190</v>
      </c>
      <c r="X133" s="19"/>
      <c r="Y133" s="19"/>
      <c r="Z133" s="22">
        <v>1952.19</v>
      </c>
      <c r="AA133" s="19"/>
      <c r="AB133" s="19"/>
      <c r="AC133" s="19"/>
      <c r="AD133" s="15"/>
      <c r="AE133" s="22">
        <v>310</v>
      </c>
      <c r="AF133" s="19"/>
      <c r="AG133" s="15"/>
      <c r="AH133" s="15"/>
      <c r="AI133" s="22">
        <v>22013.77</v>
      </c>
      <c r="AJ133" s="22">
        <v>194.5</v>
      </c>
      <c r="AK133" s="22">
        <v>27.5</v>
      </c>
      <c r="AL133" s="19"/>
      <c r="AM133" s="19"/>
      <c r="AN133" s="18">
        <v>130</v>
      </c>
      <c r="AO133" s="19"/>
      <c r="AP133" s="19"/>
      <c r="AQ133" s="15">
        <v>96.72</v>
      </c>
      <c r="AR133" s="19"/>
      <c r="AS133" s="15"/>
      <c r="AT133" s="19"/>
      <c r="AU133" s="22">
        <v>1169.2</v>
      </c>
      <c r="AV133" s="15">
        <v>28.5</v>
      </c>
      <c r="AW133" s="19"/>
      <c r="AX133" s="19"/>
      <c r="AY133" s="19"/>
      <c r="AZ133" s="22">
        <v>24023.759999999998</v>
      </c>
      <c r="BA133" s="18"/>
      <c r="BB133" s="22">
        <v>123.2</v>
      </c>
      <c r="BC133" s="22">
        <v>1668</v>
      </c>
      <c r="BD133" s="19"/>
      <c r="BE133" s="22">
        <v>2677.32</v>
      </c>
      <c r="BF133" s="19"/>
      <c r="BG133" s="19"/>
      <c r="BH133" s="15"/>
      <c r="BI133" s="19"/>
      <c r="BJ133" s="15"/>
      <c r="BK133" s="19"/>
      <c r="BL133" s="8">
        <f t="shared" si="17"/>
        <v>54604.659999999996</v>
      </c>
      <c r="BM133" s="8">
        <f t="shared" si="18"/>
        <v>2452.19</v>
      </c>
      <c r="BN133" s="8">
        <f t="shared" si="19"/>
        <v>29944.2</v>
      </c>
    </row>
    <row r="134" spans="1:66" x14ac:dyDescent="0.25">
      <c r="A134" s="14" t="s">
        <v>551</v>
      </c>
      <c r="B134" s="14" t="s">
        <v>552</v>
      </c>
      <c r="C134" s="14" t="s">
        <v>78</v>
      </c>
      <c r="D134" s="14" t="s">
        <v>69</v>
      </c>
      <c r="F134" s="14">
        <v>2</v>
      </c>
      <c r="G134" s="19"/>
      <c r="H134" s="19"/>
      <c r="I134" s="14" t="s">
        <v>80</v>
      </c>
      <c r="J134" s="14" t="s">
        <v>81</v>
      </c>
      <c r="K134" s="14" t="s">
        <v>72</v>
      </c>
      <c r="L134" s="14" t="s">
        <v>73</v>
      </c>
      <c r="M134" s="14" t="s">
        <v>74</v>
      </c>
      <c r="N134" s="14" t="s">
        <v>72</v>
      </c>
      <c r="O134" s="23">
        <v>254334</v>
      </c>
      <c r="P134" s="14">
        <v>338</v>
      </c>
      <c r="Q134" s="20"/>
      <c r="R134" s="20"/>
      <c r="S134" s="21"/>
      <c r="T134" s="17" t="e">
        <f t="shared" si="16"/>
        <v>#DIV/0!</v>
      </c>
      <c r="U134" s="19"/>
      <c r="V134" s="15"/>
      <c r="W134" s="15"/>
      <c r="X134" s="19"/>
      <c r="Y134" s="19"/>
      <c r="Z134" s="15"/>
      <c r="AA134" s="19"/>
      <c r="AB134" s="19"/>
      <c r="AC134" s="19"/>
      <c r="AD134" s="15"/>
      <c r="AE134" s="15"/>
      <c r="AF134" s="19"/>
      <c r="AG134" s="19"/>
      <c r="AH134" s="19"/>
      <c r="AI134" s="15"/>
      <c r="AJ134" s="15"/>
      <c r="AK134" s="15"/>
      <c r="AL134" s="19"/>
      <c r="AM134" s="19"/>
      <c r="AN134" s="19"/>
      <c r="AO134" s="19"/>
      <c r="AP134" s="19"/>
      <c r="AQ134" s="19"/>
      <c r="AR134" s="19"/>
      <c r="AS134" s="15"/>
      <c r="AT134" s="19"/>
      <c r="AU134" s="19"/>
      <c r="AV134" s="15"/>
      <c r="AW134" s="19"/>
      <c r="AX134" s="19"/>
      <c r="AY134" s="19"/>
      <c r="AZ134" s="15"/>
      <c r="BA134" s="19"/>
      <c r="BB134" s="19"/>
      <c r="BC134" s="15"/>
      <c r="BD134" s="19"/>
      <c r="BE134" s="15"/>
      <c r="BF134" s="19"/>
      <c r="BG134" s="19"/>
      <c r="BH134" s="15"/>
      <c r="BI134" s="19"/>
      <c r="BJ134" s="15"/>
      <c r="BK134" s="19"/>
      <c r="BL134" s="8">
        <f t="shared" si="17"/>
        <v>0</v>
      </c>
      <c r="BM134" s="8">
        <f t="shared" si="18"/>
        <v>0</v>
      </c>
      <c r="BN134" s="8">
        <f t="shared" si="19"/>
        <v>0</v>
      </c>
    </row>
    <row r="135" spans="1:66" x14ac:dyDescent="0.25">
      <c r="A135" s="3" t="s">
        <v>553</v>
      </c>
      <c r="B135" s="3" t="s">
        <v>554</v>
      </c>
      <c r="C135" s="3" t="s">
        <v>186</v>
      </c>
      <c r="D135" s="3" t="s">
        <v>126</v>
      </c>
      <c r="O135" s="10">
        <v>65000</v>
      </c>
      <c r="P135" s="3">
        <v>27</v>
      </c>
      <c r="Q135" s="11" t="s">
        <v>555</v>
      </c>
      <c r="R135" s="11" t="s">
        <v>115</v>
      </c>
      <c r="S135" s="12">
        <v>30.125</v>
      </c>
      <c r="T135" s="9">
        <f t="shared" si="16"/>
        <v>0.89626556016597514</v>
      </c>
      <c r="U135" s="13">
        <v>628.98</v>
      </c>
      <c r="W135" s="13">
        <v>200</v>
      </c>
      <c r="Z135" s="13">
        <v>616.58000000000004</v>
      </c>
      <c r="AE135" s="13">
        <v>80</v>
      </c>
      <c r="AI135" s="13">
        <v>11093.74</v>
      </c>
      <c r="AJ135" s="13">
        <v>1363.59</v>
      </c>
      <c r="AK135" s="13">
        <v>2080.16</v>
      </c>
      <c r="AQ135" s="8">
        <v>92.4</v>
      </c>
      <c r="AS135" s="13">
        <v>1917.93</v>
      </c>
      <c r="AV135" s="13">
        <v>3484.5</v>
      </c>
      <c r="AZ135" s="13">
        <v>426.59</v>
      </c>
      <c r="BA135" s="13"/>
      <c r="BC135" s="13">
        <v>86</v>
      </c>
      <c r="BE135" s="13">
        <v>1097.71</v>
      </c>
      <c r="BH135" s="13">
        <v>2590</v>
      </c>
      <c r="BJ135" s="13">
        <v>450</v>
      </c>
      <c r="BK135" s="8">
        <v>5200</v>
      </c>
      <c r="BL135" s="8">
        <f t="shared" si="17"/>
        <v>31408.179999999997</v>
      </c>
      <c r="BM135" s="8">
        <f t="shared" si="18"/>
        <v>1525.56</v>
      </c>
      <c r="BN135" s="8">
        <f t="shared" si="19"/>
        <v>12225.29</v>
      </c>
    </row>
    <row r="136" spans="1:66" x14ac:dyDescent="0.25">
      <c r="A136" s="3" t="s">
        <v>556</v>
      </c>
      <c r="B136" s="3" t="s">
        <v>557</v>
      </c>
      <c r="C136" s="3" t="s">
        <v>313</v>
      </c>
      <c r="D136" s="3" t="s">
        <v>79</v>
      </c>
      <c r="L136" s="3" t="s">
        <v>171</v>
      </c>
      <c r="M136" s="3" t="s">
        <v>172</v>
      </c>
      <c r="N136" s="3" t="s">
        <v>72</v>
      </c>
      <c r="O136">
        <v>41650</v>
      </c>
      <c r="P136" s="3">
        <v>24</v>
      </c>
      <c r="Q136" t="s">
        <v>558</v>
      </c>
      <c r="R136" t="s">
        <v>128</v>
      </c>
      <c r="S136">
        <v>26.9375</v>
      </c>
      <c r="T136" s="9">
        <f t="shared" si="16"/>
        <v>0.89095127610208813</v>
      </c>
      <c r="W136">
        <v>200</v>
      </c>
      <c r="Z136">
        <v>582.79</v>
      </c>
      <c r="AE136">
        <v>80</v>
      </c>
      <c r="AI136">
        <v>10660.61</v>
      </c>
      <c r="AJ136">
        <v>2114.06</v>
      </c>
      <c r="AK136">
        <v>1150.6099999999999</v>
      </c>
      <c r="AO136" s="7">
        <v>64.5</v>
      </c>
      <c r="AQ136" s="7">
        <v>385</v>
      </c>
      <c r="AS136">
        <v>737.5</v>
      </c>
      <c r="AV136">
        <v>192</v>
      </c>
      <c r="AZ136">
        <v>864.49</v>
      </c>
      <c r="BB136" s="7">
        <v>112.45</v>
      </c>
      <c r="BC136">
        <v>102</v>
      </c>
      <c r="BE136">
        <v>411.88</v>
      </c>
      <c r="BH136">
        <v>907</v>
      </c>
      <c r="BI136" s="7">
        <v>2602</v>
      </c>
      <c r="BJ136">
        <v>731</v>
      </c>
      <c r="BL136" s="8">
        <f t="shared" si="17"/>
        <v>21897.890000000003</v>
      </c>
      <c r="BM136" s="8">
        <f t="shared" si="18"/>
        <v>862.79</v>
      </c>
      <c r="BN136" s="8">
        <f t="shared" si="19"/>
        <v>8260.43</v>
      </c>
    </row>
    <row r="137" spans="1:66" x14ac:dyDescent="0.25">
      <c r="A137" s="14" t="s">
        <v>559</v>
      </c>
      <c r="B137" s="14" t="s">
        <v>560</v>
      </c>
      <c r="C137" s="14" t="s">
        <v>313</v>
      </c>
      <c r="D137" s="14" t="s">
        <v>69</v>
      </c>
      <c r="F137" s="14">
        <v>2</v>
      </c>
      <c r="G137" s="14" t="s">
        <v>561</v>
      </c>
      <c r="H137" s="14" t="s">
        <v>72</v>
      </c>
      <c r="I137" s="19"/>
      <c r="J137" s="19"/>
      <c r="K137" s="19"/>
      <c r="L137" s="14" t="s">
        <v>73</v>
      </c>
      <c r="M137" s="14" t="s">
        <v>74</v>
      </c>
      <c r="N137" s="14" t="s">
        <v>72</v>
      </c>
      <c r="O137" s="15">
        <v>1234553.6499999999</v>
      </c>
      <c r="P137" s="14">
        <v>934</v>
      </c>
      <c r="Q137" s="15" t="s">
        <v>562</v>
      </c>
      <c r="R137" s="15" t="s">
        <v>128</v>
      </c>
      <c r="S137" s="15">
        <v>512.8125</v>
      </c>
      <c r="T137" s="17">
        <f t="shared" si="16"/>
        <v>1.8213284582571603</v>
      </c>
      <c r="U137" s="19">
        <v>14614.04</v>
      </c>
      <c r="V137" s="15">
        <v>23688.39</v>
      </c>
      <c r="W137" s="19">
        <v>4031.8</v>
      </c>
      <c r="X137" s="19"/>
      <c r="Y137" s="19"/>
      <c r="Z137" s="15">
        <v>11614.53</v>
      </c>
      <c r="AA137" s="19">
        <v>85</v>
      </c>
      <c r="AB137" s="19"/>
      <c r="AC137" s="19">
        <v>2052</v>
      </c>
      <c r="AD137" s="15"/>
      <c r="AE137" s="15">
        <v>15306.77</v>
      </c>
      <c r="AF137" s="19"/>
      <c r="AG137" s="19"/>
      <c r="AH137" s="19">
        <v>224</v>
      </c>
      <c r="AI137" s="15">
        <v>197868.98</v>
      </c>
      <c r="AJ137" s="15">
        <v>27482.84</v>
      </c>
      <c r="AK137" s="15">
        <v>24460.6</v>
      </c>
      <c r="AL137" s="19"/>
      <c r="AM137" s="19"/>
      <c r="AN137" s="19"/>
      <c r="AO137" s="19"/>
      <c r="AP137" s="19"/>
      <c r="AQ137" s="19">
        <v>18839.400000000001</v>
      </c>
      <c r="AR137" s="19"/>
      <c r="AS137" s="15">
        <v>61290.57</v>
      </c>
      <c r="AT137" s="19"/>
      <c r="AU137" s="19"/>
      <c r="AV137" s="15">
        <v>69347.179999999993</v>
      </c>
      <c r="AW137" s="19"/>
      <c r="AX137" s="19"/>
      <c r="AY137" s="19"/>
      <c r="AZ137" s="15">
        <v>11313.9</v>
      </c>
      <c r="BA137" s="19"/>
      <c r="BB137" s="15">
        <v>631.78</v>
      </c>
      <c r="BC137" s="15">
        <v>5601.53</v>
      </c>
      <c r="BD137" s="19"/>
      <c r="BE137" s="15">
        <v>22925.48</v>
      </c>
      <c r="BF137" s="15"/>
      <c r="BG137" s="19"/>
      <c r="BH137" s="15">
        <v>78570.8</v>
      </c>
      <c r="BI137" s="15"/>
      <c r="BJ137" s="15">
        <v>19644.82</v>
      </c>
      <c r="BK137" s="19"/>
      <c r="BL137" s="8">
        <f t="shared" si="17"/>
        <v>609594.41</v>
      </c>
      <c r="BM137" s="8">
        <f t="shared" si="18"/>
        <v>71392.53</v>
      </c>
      <c r="BN137" s="8">
        <f t="shared" si="19"/>
        <v>312626.06</v>
      </c>
    </row>
    <row r="138" spans="1:66" x14ac:dyDescent="0.25">
      <c r="A138" s="14" t="s">
        <v>563</v>
      </c>
      <c r="B138" s="14" t="s">
        <v>564</v>
      </c>
      <c r="C138" s="14" t="s">
        <v>565</v>
      </c>
      <c r="D138" s="14" t="s">
        <v>79</v>
      </c>
      <c r="F138" s="19"/>
      <c r="G138" s="19"/>
      <c r="H138" s="19"/>
      <c r="I138" s="19"/>
      <c r="J138" s="19"/>
      <c r="K138" s="19"/>
      <c r="L138" s="14" t="s">
        <v>171</v>
      </c>
      <c r="M138" s="14" t="s">
        <v>172</v>
      </c>
      <c r="N138" s="14" t="s">
        <v>173</v>
      </c>
      <c r="O138" s="23">
        <v>330000</v>
      </c>
      <c r="P138" s="14">
        <v>266</v>
      </c>
      <c r="Q138" s="20"/>
      <c r="R138" s="20"/>
      <c r="S138" s="21"/>
      <c r="T138" s="17" t="e">
        <f t="shared" si="16"/>
        <v>#DIV/0!</v>
      </c>
      <c r="U138" s="19"/>
      <c r="V138" s="19"/>
      <c r="W138" s="15"/>
      <c r="X138" s="19"/>
      <c r="Y138" s="19"/>
      <c r="Z138" s="15"/>
      <c r="AA138" s="19"/>
      <c r="AB138" s="19"/>
      <c r="AC138" s="19"/>
      <c r="AD138" s="19"/>
      <c r="AE138" s="15"/>
      <c r="AF138" s="19"/>
      <c r="AG138" s="19"/>
      <c r="AH138" s="19"/>
      <c r="AI138" s="15"/>
      <c r="AJ138" s="15"/>
      <c r="AK138" s="15"/>
      <c r="AL138" s="19"/>
      <c r="AM138" s="19"/>
      <c r="AN138" s="19"/>
      <c r="AO138" s="15"/>
      <c r="AP138" s="19"/>
      <c r="AQ138" s="15"/>
      <c r="AR138" s="19"/>
      <c r="AS138" s="15"/>
      <c r="AT138" s="19"/>
      <c r="AU138" s="19"/>
      <c r="AV138" s="15"/>
      <c r="AW138" s="19"/>
      <c r="AX138" s="19"/>
      <c r="AY138" s="19"/>
      <c r="AZ138" s="15"/>
      <c r="BA138" s="19"/>
      <c r="BB138" s="15"/>
      <c r="BC138" s="15"/>
      <c r="BD138" s="19"/>
      <c r="BE138" s="15"/>
      <c r="BF138" s="19"/>
      <c r="BG138" s="19"/>
      <c r="BH138" s="15"/>
      <c r="BI138" s="15"/>
      <c r="BJ138" s="15"/>
      <c r="BK138" s="19"/>
      <c r="BL138" s="8">
        <f t="shared" si="17"/>
        <v>0</v>
      </c>
      <c r="BM138" s="8">
        <f t="shared" si="18"/>
        <v>0</v>
      </c>
      <c r="BN138" s="8">
        <f t="shared" si="19"/>
        <v>0</v>
      </c>
    </row>
    <row r="139" spans="1:66" x14ac:dyDescent="0.25">
      <c r="A139" s="14" t="s">
        <v>566</v>
      </c>
      <c r="B139" s="14" t="s">
        <v>567</v>
      </c>
      <c r="C139" s="14" t="s">
        <v>233</v>
      </c>
      <c r="D139" s="14" t="s">
        <v>69</v>
      </c>
      <c r="F139" s="14">
        <v>4</v>
      </c>
      <c r="G139" s="19"/>
      <c r="H139" s="19"/>
      <c r="I139" s="14" t="s">
        <v>80</v>
      </c>
      <c r="J139" s="14" t="s">
        <v>81</v>
      </c>
      <c r="K139" s="14" t="s">
        <v>173</v>
      </c>
      <c r="L139" s="14" t="s">
        <v>73</v>
      </c>
      <c r="M139" s="14" t="s">
        <v>74</v>
      </c>
      <c r="N139" s="14" t="s">
        <v>173</v>
      </c>
      <c r="O139" s="23">
        <v>974000</v>
      </c>
      <c r="P139" s="14">
        <v>940</v>
      </c>
      <c r="Q139" s="21" t="s">
        <v>568</v>
      </c>
      <c r="R139" s="21" t="s">
        <v>115</v>
      </c>
      <c r="S139" s="24">
        <v>343.5625</v>
      </c>
      <c r="T139" s="17">
        <f t="shared" si="16"/>
        <v>2.7360378388211752</v>
      </c>
      <c r="U139" s="15"/>
      <c r="V139" s="18">
        <v>28346.78</v>
      </c>
      <c r="W139" s="22">
        <v>760</v>
      </c>
      <c r="X139" s="19"/>
      <c r="Y139" s="19"/>
      <c r="Z139" s="22">
        <v>2974.84</v>
      </c>
      <c r="AA139" s="15"/>
      <c r="AB139" s="15"/>
      <c r="AC139" s="19"/>
      <c r="AD139" s="15"/>
      <c r="AE139" s="22">
        <v>15632.5</v>
      </c>
      <c r="AF139" s="19"/>
      <c r="AG139" s="15"/>
      <c r="AH139" s="28">
        <v>12312</v>
      </c>
      <c r="AI139" s="22">
        <v>135250.68</v>
      </c>
      <c r="AJ139" s="22">
        <v>10544.03</v>
      </c>
      <c r="AK139" s="22">
        <v>1788.33</v>
      </c>
      <c r="AL139" s="19"/>
      <c r="AM139" s="19"/>
      <c r="AN139" s="19"/>
      <c r="AO139" s="18">
        <v>3195.5</v>
      </c>
      <c r="AP139" s="18">
        <v>420</v>
      </c>
      <c r="AQ139" s="18">
        <v>2033.81</v>
      </c>
      <c r="AR139" s="19"/>
      <c r="AS139" s="22">
        <v>18768.3</v>
      </c>
      <c r="AT139" s="19"/>
      <c r="AU139" s="19"/>
      <c r="AV139" s="18">
        <v>61002.92</v>
      </c>
      <c r="AW139" s="19"/>
      <c r="AX139" s="19"/>
      <c r="AY139" s="15"/>
      <c r="AZ139" s="22">
        <v>54902.34</v>
      </c>
      <c r="BA139" s="18"/>
      <c r="BB139" s="22">
        <v>727.44</v>
      </c>
      <c r="BC139" s="22">
        <v>5474.98</v>
      </c>
      <c r="BD139" s="18"/>
      <c r="BE139" s="22">
        <v>21160.01</v>
      </c>
      <c r="BF139" s="19"/>
      <c r="BG139" s="19"/>
      <c r="BH139" s="22">
        <v>69200</v>
      </c>
      <c r="BI139" s="15"/>
      <c r="BJ139" s="22">
        <v>5807</v>
      </c>
      <c r="BK139" s="15"/>
      <c r="BL139" s="8">
        <f t="shared" si="17"/>
        <v>450301.4599999999</v>
      </c>
      <c r="BM139" s="8">
        <f t="shared" si="18"/>
        <v>47714.119999999995</v>
      </c>
      <c r="BN139" s="8">
        <f t="shared" si="19"/>
        <v>244480.63000000003</v>
      </c>
    </row>
    <row r="140" spans="1:66" x14ac:dyDescent="0.25">
      <c r="A140" s="3" t="s">
        <v>569</v>
      </c>
      <c r="B140" s="3" t="s">
        <v>570</v>
      </c>
      <c r="C140" s="3" t="s">
        <v>190</v>
      </c>
      <c r="D140" s="3" t="s">
        <v>79</v>
      </c>
      <c r="L140" s="3" t="s">
        <v>171</v>
      </c>
      <c r="M140" s="3" t="s">
        <v>172</v>
      </c>
      <c r="N140" s="3" t="s">
        <v>72</v>
      </c>
      <c r="O140">
        <v>83000</v>
      </c>
      <c r="P140" s="3">
        <v>71</v>
      </c>
      <c r="Q140" t="s">
        <v>571</v>
      </c>
      <c r="R140" t="s">
        <v>128</v>
      </c>
      <c r="S140">
        <v>46.9375</v>
      </c>
      <c r="T140" s="9">
        <f t="shared" si="16"/>
        <v>1.5126498002663116</v>
      </c>
      <c r="U140" s="7">
        <v>888.2</v>
      </c>
      <c r="W140">
        <v>190</v>
      </c>
      <c r="Z140">
        <v>873.14</v>
      </c>
      <c r="AD140">
        <v>750</v>
      </c>
      <c r="AE140">
        <v>310</v>
      </c>
      <c r="AI140">
        <v>17832.650000000001</v>
      </c>
      <c r="AJ140">
        <v>2816.17</v>
      </c>
      <c r="AK140">
        <v>1457.38</v>
      </c>
      <c r="AQ140">
        <v>225.21</v>
      </c>
      <c r="AS140">
        <v>2709.82</v>
      </c>
      <c r="AV140">
        <v>144</v>
      </c>
      <c r="AZ140">
        <v>5241.84</v>
      </c>
      <c r="BC140">
        <v>572.04999999999995</v>
      </c>
      <c r="BE140">
        <v>2527.65</v>
      </c>
      <c r="BH140">
        <v>1300</v>
      </c>
      <c r="BI140" s="7">
        <v>13920</v>
      </c>
      <c r="BJ140">
        <v>973.5</v>
      </c>
      <c r="BL140" s="8">
        <f t="shared" si="17"/>
        <v>52731.610000000008</v>
      </c>
      <c r="BM140" s="8">
        <f t="shared" si="18"/>
        <v>3011.34</v>
      </c>
      <c r="BN140" s="8">
        <f t="shared" si="19"/>
        <v>29071.449999999997</v>
      </c>
    </row>
    <row r="141" spans="1:66" x14ac:dyDescent="0.25">
      <c r="A141" s="14" t="s">
        <v>572</v>
      </c>
      <c r="B141" s="14" t="s">
        <v>573</v>
      </c>
      <c r="C141" s="14" t="s">
        <v>574</v>
      </c>
      <c r="D141" s="14" t="s">
        <v>93</v>
      </c>
      <c r="E141" t="s">
        <v>146</v>
      </c>
      <c r="F141" s="14" t="s">
        <v>146</v>
      </c>
      <c r="G141" s="14" t="s">
        <v>147</v>
      </c>
      <c r="H141" s="14" t="s">
        <v>96</v>
      </c>
      <c r="I141" s="14" t="s">
        <v>96</v>
      </c>
      <c r="J141" s="19"/>
      <c r="K141" s="19"/>
      <c r="L141" s="19"/>
      <c r="M141" s="19"/>
      <c r="N141" s="19"/>
      <c r="O141" s="23">
        <v>135000</v>
      </c>
      <c r="P141" s="14">
        <v>194</v>
      </c>
      <c r="Q141" s="20"/>
      <c r="R141" s="15"/>
      <c r="S141" s="21"/>
      <c r="T141" s="17" t="e">
        <f t="shared" si="16"/>
        <v>#DIV/0!</v>
      </c>
      <c r="U141" s="15"/>
      <c r="V141" s="19"/>
      <c r="W141" s="15"/>
      <c r="X141" s="19"/>
      <c r="Y141" s="19"/>
      <c r="Z141" s="15"/>
      <c r="AA141" s="19"/>
      <c r="AB141" s="19"/>
      <c r="AC141" s="19"/>
      <c r="AD141" s="15"/>
      <c r="AE141" s="15"/>
      <c r="AF141" s="19"/>
      <c r="AG141" s="15"/>
      <c r="AH141" s="19"/>
      <c r="AI141" s="15"/>
      <c r="AJ141" s="15"/>
      <c r="AK141" s="15"/>
      <c r="AL141" s="19"/>
      <c r="AM141" s="19"/>
      <c r="AN141" s="19"/>
      <c r="AO141" s="19"/>
      <c r="AP141" s="19"/>
      <c r="AQ141" s="15"/>
      <c r="AR141" s="19"/>
      <c r="AS141" s="15"/>
      <c r="AT141" s="19"/>
      <c r="AU141" s="15"/>
      <c r="AV141" s="15"/>
      <c r="AW141" s="19"/>
      <c r="AX141" s="19"/>
      <c r="AY141" s="19"/>
      <c r="AZ141" s="15"/>
      <c r="BA141" s="15"/>
      <c r="BB141" s="15"/>
      <c r="BC141" s="15"/>
      <c r="BD141" s="19"/>
      <c r="BE141" s="15"/>
      <c r="BF141" s="19"/>
      <c r="BG141" s="19"/>
      <c r="BH141" s="15"/>
      <c r="BI141" s="19"/>
      <c r="BJ141" s="15"/>
      <c r="BK141" s="19"/>
      <c r="BL141" s="8">
        <f t="shared" si="17"/>
        <v>0</v>
      </c>
      <c r="BM141" s="8">
        <f t="shared" si="18"/>
        <v>0</v>
      </c>
      <c r="BN141" s="8">
        <f t="shared" si="19"/>
        <v>0</v>
      </c>
    </row>
    <row r="142" spans="1:66" x14ac:dyDescent="0.25">
      <c r="A142" s="14" t="s">
        <v>575</v>
      </c>
      <c r="B142" s="14" t="s">
        <v>576</v>
      </c>
      <c r="C142" s="14" t="s">
        <v>263</v>
      </c>
      <c r="D142" s="14" t="s">
        <v>93</v>
      </c>
      <c r="E142" t="s">
        <v>146</v>
      </c>
      <c r="F142" s="14" t="s">
        <v>146</v>
      </c>
      <c r="G142" s="14" t="s">
        <v>147</v>
      </c>
      <c r="H142" s="14" t="s">
        <v>96</v>
      </c>
      <c r="I142" s="14" t="s">
        <v>96</v>
      </c>
      <c r="J142" s="19"/>
      <c r="K142" s="19"/>
      <c r="L142" s="19"/>
      <c r="M142" s="19"/>
      <c r="N142" s="19"/>
      <c r="O142" s="23">
        <v>358000</v>
      </c>
      <c r="P142" s="14">
        <v>524</v>
      </c>
      <c r="Q142" s="15"/>
      <c r="R142" s="15"/>
      <c r="S142" s="15"/>
      <c r="T142" s="17" t="e">
        <f t="shared" si="16"/>
        <v>#DIV/0!</v>
      </c>
      <c r="U142" s="15"/>
      <c r="V142" s="19"/>
      <c r="W142" s="15"/>
      <c r="X142" s="19"/>
      <c r="Y142" s="19"/>
      <c r="Z142" s="15"/>
      <c r="AA142" s="19"/>
      <c r="AB142" s="19"/>
      <c r="AC142" s="19"/>
      <c r="AD142" s="15"/>
      <c r="AE142" s="15"/>
      <c r="AF142" s="19"/>
      <c r="AG142" s="15"/>
      <c r="AH142" s="19"/>
      <c r="AI142" s="15"/>
      <c r="AJ142" s="15"/>
      <c r="AK142" s="15"/>
      <c r="AL142" s="19"/>
      <c r="AM142" s="19"/>
      <c r="AN142" s="19"/>
      <c r="AO142" s="19"/>
      <c r="AP142" s="15"/>
      <c r="AQ142" s="15"/>
      <c r="AR142" s="19"/>
      <c r="AS142" s="15"/>
      <c r="AT142" s="19"/>
      <c r="AU142" s="19"/>
      <c r="AV142" s="15"/>
      <c r="AW142" s="19"/>
      <c r="AX142" s="19"/>
      <c r="AY142" s="19"/>
      <c r="AZ142" s="15"/>
      <c r="BA142" s="19"/>
      <c r="BB142" s="19"/>
      <c r="BC142" s="15"/>
      <c r="BD142" s="19"/>
      <c r="BE142" s="15"/>
      <c r="BF142" s="15"/>
      <c r="BG142" s="19"/>
      <c r="BH142" s="15"/>
      <c r="BI142" s="19"/>
      <c r="BJ142" s="15"/>
      <c r="BK142" s="19"/>
      <c r="BL142" s="8">
        <f t="shared" si="17"/>
        <v>0</v>
      </c>
      <c r="BM142" s="8">
        <f t="shared" si="18"/>
        <v>0</v>
      </c>
      <c r="BN142" s="8">
        <f t="shared" si="19"/>
        <v>0</v>
      </c>
    </row>
    <row r="143" spans="1:66" x14ac:dyDescent="0.25">
      <c r="A143" t="s">
        <v>577</v>
      </c>
      <c r="B143" t="s">
        <v>578</v>
      </c>
      <c r="C143" t="s">
        <v>92</v>
      </c>
      <c r="D143" t="s">
        <v>79</v>
      </c>
      <c r="F143">
        <v>0</v>
      </c>
      <c r="I143" t="s">
        <v>370</v>
      </c>
      <c r="J143" t="s">
        <v>81</v>
      </c>
      <c r="K143" t="s">
        <v>72</v>
      </c>
      <c r="L143" t="s">
        <v>73</v>
      </c>
      <c r="M143" t="s">
        <v>74</v>
      </c>
      <c r="N143" t="s">
        <v>336</v>
      </c>
      <c r="O143">
        <v>706204</v>
      </c>
      <c r="P143">
        <v>551</v>
      </c>
      <c r="Q143" s="26">
        <v>45708</v>
      </c>
      <c r="R143" t="s">
        <v>579</v>
      </c>
      <c r="S143">
        <v>255.375</v>
      </c>
      <c r="U143">
        <v>2322.33</v>
      </c>
      <c r="V143">
        <v>0</v>
      </c>
      <c r="W143">
        <v>2945.3</v>
      </c>
      <c r="X143">
        <v>0</v>
      </c>
      <c r="Y143">
        <v>0</v>
      </c>
      <c r="Z143">
        <v>3671.52</v>
      </c>
      <c r="AA143">
        <v>0</v>
      </c>
      <c r="AB143">
        <v>0</v>
      </c>
      <c r="AC143">
        <v>0</v>
      </c>
      <c r="AD143">
        <v>0</v>
      </c>
      <c r="AE143">
        <v>13617.5</v>
      </c>
      <c r="AF143">
        <v>0</v>
      </c>
      <c r="AG143">
        <v>0</v>
      </c>
      <c r="AH143">
        <v>0</v>
      </c>
      <c r="AI143">
        <v>101703.97</v>
      </c>
      <c r="AJ143">
        <v>10587.96</v>
      </c>
      <c r="AK143">
        <v>16239.48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2538.52</v>
      </c>
      <c r="AR143">
        <v>0</v>
      </c>
      <c r="AS143">
        <v>17666.419999999998</v>
      </c>
      <c r="AT143">
        <v>0</v>
      </c>
      <c r="AU143">
        <v>0</v>
      </c>
      <c r="AV143">
        <v>27278.080000000002</v>
      </c>
      <c r="AW143">
        <v>0</v>
      </c>
      <c r="AX143">
        <v>0</v>
      </c>
      <c r="AY143">
        <v>0</v>
      </c>
      <c r="AZ143">
        <v>23763.9</v>
      </c>
      <c r="BA143">
        <v>77543.5</v>
      </c>
      <c r="BB143">
        <v>540.59</v>
      </c>
      <c r="BC143">
        <v>3368.99</v>
      </c>
      <c r="BD143">
        <v>11305</v>
      </c>
      <c r="BE143">
        <v>21939.68</v>
      </c>
      <c r="BF143">
        <v>0</v>
      </c>
      <c r="BG143">
        <v>0</v>
      </c>
      <c r="BH143">
        <v>48949.5</v>
      </c>
      <c r="BI143">
        <v>0</v>
      </c>
      <c r="BJ143">
        <v>7191.4</v>
      </c>
      <c r="BK143">
        <v>0</v>
      </c>
      <c r="BL143">
        <v>393173.64</v>
      </c>
    </row>
    <row r="144" spans="1:66" x14ac:dyDescent="0.25">
      <c r="A144" t="s">
        <v>580</v>
      </c>
      <c r="B144" t="s">
        <v>581</v>
      </c>
      <c r="C144" t="s">
        <v>582</v>
      </c>
      <c r="D144" t="s">
        <v>69</v>
      </c>
      <c r="F144">
        <v>3</v>
      </c>
      <c r="I144" t="s">
        <v>80</v>
      </c>
      <c r="J144" t="s">
        <v>81</v>
      </c>
      <c r="K144" t="s">
        <v>72</v>
      </c>
      <c r="L144" t="s">
        <v>73</v>
      </c>
      <c r="M144" t="s">
        <v>414</v>
      </c>
      <c r="N144" t="s">
        <v>72</v>
      </c>
      <c r="O144">
        <v>1238328</v>
      </c>
      <c r="P144">
        <v>1554</v>
      </c>
      <c r="Q144" s="26">
        <v>45765</v>
      </c>
      <c r="R144" t="s">
        <v>583</v>
      </c>
      <c r="S144">
        <v>320.875</v>
      </c>
      <c r="U144">
        <v>10392.629999999999</v>
      </c>
      <c r="V144">
        <v>32955</v>
      </c>
      <c r="W144">
        <v>7011.9</v>
      </c>
      <c r="X144">
        <v>121.24</v>
      </c>
      <c r="Y144">
        <v>0</v>
      </c>
      <c r="Z144">
        <v>3021.86</v>
      </c>
      <c r="AA144">
        <v>0</v>
      </c>
      <c r="AB144">
        <v>0</v>
      </c>
      <c r="AC144">
        <v>0</v>
      </c>
      <c r="AD144">
        <v>0</v>
      </c>
      <c r="AE144">
        <v>3542.5</v>
      </c>
      <c r="AF144">
        <v>0</v>
      </c>
      <c r="AG144">
        <v>100</v>
      </c>
      <c r="AH144">
        <v>14059</v>
      </c>
      <c r="AI144">
        <v>131201.82</v>
      </c>
      <c r="AJ144">
        <v>7122.77</v>
      </c>
      <c r="AK144">
        <v>40755.26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834.19</v>
      </c>
      <c r="AR144">
        <v>0</v>
      </c>
      <c r="AS144">
        <v>5230.5</v>
      </c>
      <c r="AT144">
        <v>0</v>
      </c>
      <c r="AU144">
        <v>0</v>
      </c>
      <c r="AV144">
        <v>93542.399999999994</v>
      </c>
      <c r="AW144">
        <v>0</v>
      </c>
      <c r="AX144">
        <v>0</v>
      </c>
      <c r="AY144">
        <v>0</v>
      </c>
      <c r="AZ144">
        <v>23866.600000000009</v>
      </c>
      <c r="BA144">
        <v>55984</v>
      </c>
      <c r="BB144">
        <v>432.02</v>
      </c>
      <c r="BC144">
        <v>4637.5</v>
      </c>
      <c r="BD144">
        <v>8332.5</v>
      </c>
      <c r="BE144">
        <v>45767.57</v>
      </c>
      <c r="BF144">
        <v>0</v>
      </c>
      <c r="BG144">
        <v>0</v>
      </c>
      <c r="BH144">
        <v>208280</v>
      </c>
      <c r="BI144">
        <v>0</v>
      </c>
      <c r="BJ144">
        <v>9736</v>
      </c>
      <c r="BK144">
        <v>4575</v>
      </c>
      <c r="BL144">
        <v>711502.26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Newman</dc:creator>
  <cp:lastModifiedBy>Ed Newman</cp:lastModifiedBy>
  <dcterms:created xsi:type="dcterms:W3CDTF">2026-06-22T16:03:43Z</dcterms:created>
  <dcterms:modified xsi:type="dcterms:W3CDTF">2026-07-04T17:38:34Z</dcterms:modified>
</cp:coreProperties>
</file>